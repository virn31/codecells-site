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upuestos" sheetId="2" state="visible" r:id="rId2"/>
    <sheet name="Conservador" sheetId="3" state="visible" r:id="rId3"/>
    <sheet name="Base" sheetId="4" state="visible" r:id="rId4"/>
    <sheet name="Optimis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#,##0;(#,##0);-"/>
    <numFmt numFmtId="166" formatCode="0.0%;(0.0%);-"/>
    <numFmt numFmtId="167" formatCode="&quot;US$&quot;#,##0.00;(&quot;US$&quot;#,##0.00);-"/>
    <numFmt numFmtId="168" formatCode="#,##0.0;(#,##0.0);-"/>
    <numFmt numFmtId="169" formatCode="&quot;US$&quot;0.00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</font>
    <font>
      <name val="Arial"/>
      <color rgb="00008000"/>
    </font>
    <font>
      <name val="Arial"/>
      <i val="1"/>
      <sz val="9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top style="thin">
        <color rgb="00BBBBBB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5" fontId="8" fillId="0" borderId="0" pivotButton="0" quotePrefix="0" xfId="0"/>
    <xf numFmtId="0" fontId="6" fillId="0" borderId="0" pivotButton="0" quotePrefix="0" xfId="0"/>
    <xf numFmtId="164" fontId="8" fillId="0" borderId="0" pivotButton="0" quotePrefix="0" xfId="0"/>
    <xf numFmtId="166" fontId="8" fillId="0" borderId="0" pivotButton="0" quotePrefix="0" xfId="0"/>
    <xf numFmtId="1" fontId="8" fillId="0" borderId="0" pivotButton="0" quotePrefix="0" xfId="0"/>
    <xf numFmtId="0" fontId="10" fillId="2" borderId="0" pivotButton="0" quotePrefix="0" xfId="0"/>
    <xf numFmtId="164" fontId="4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6" fontId="10" fillId="0" borderId="0" pivotButton="0" quotePrefix="0" xfId="0"/>
    <xf numFmtId="0" fontId="9" fillId="0" borderId="0" pivotButton="0" quotePrefix="0" xfId="0"/>
    <xf numFmtId="164" fontId="10" fillId="0" borderId="0" pivotButton="0" quotePrefix="0" xfId="0"/>
    <xf numFmtId="1" fontId="10" fillId="0" borderId="0" pivotButton="0" quotePrefix="0" xfId="0"/>
    <xf numFmtId="164" fontId="5" fillId="3" borderId="0" pivotButton="0" quotePrefix="0" xfId="0"/>
    <xf numFmtId="0" fontId="2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165" fontId="5" fillId="0" borderId="0" pivotButton="0" quotePrefix="0" xfId="0"/>
    <xf numFmtId="166" fontId="5" fillId="0" borderId="0" pivotButton="0" quotePrefix="0" xfId="0"/>
    <xf numFmtId="2" fontId="5" fillId="0" borderId="0" pivotButton="0" quotePrefix="0" xfId="0"/>
    <xf numFmtId="167" fontId="5" fillId="0" borderId="0" pivotButton="0" quotePrefix="0" xfId="0"/>
    <xf numFmtId="167" fontId="5" fillId="3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5" fillId="3" borderId="0" pivotButton="0" quotePrefix="0" xfId="0"/>
    <xf numFmtId="169" fontId="5" fillId="0" borderId="0" pivotButton="0" quotePrefix="0" xfId="0"/>
    <xf numFmtId="0" fontId="3" fillId="2" borderId="0" applyAlignment="1" pivotButton="0" quotePrefix="0" xfId="0">
      <alignment horizontal="center"/>
    </xf>
    <xf numFmtId="166" fontId="5" fillId="3" borderId="0" pivotButton="0" quotePrefix="0" xfId="0"/>
    <xf numFmtId="0" fontId="7" fillId="0" borderId="0" applyAlignment="1" pivotButton="0" quotePrefix="0" xfId="0">
      <alignment horizontal="center"/>
    </xf>
    <xf numFmtId="1" fontId="4" fillId="0" borderId="0" pivotButton="0" quotePrefix="0" xfId="0"/>
    <xf numFmtId="0" fontId="7" fillId="4" borderId="0" pivotButton="0" quotePrefix="0" xfId="0"/>
    <xf numFmtId="0" fontId="10" fillId="4" borderId="0" pivotButton="0" quotePrefix="0" xfId="0"/>
    <xf numFmtId="168" fontId="8" fillId="0" borderId="0" pivotButton="0" quotePrefix="0" xfId="0"/>
    <xf numFmtId="168" fontId="4" fillId="0" borderId="0" pivotButton="0" quotePrefix="0" xfId="0"/>
    <xf numFmtId="0" fontId="7" fillId="0" borderId="1" pivotButton="0" quotePrefix="0" xfId="0"/>
    <xf numFmtId="0" fontId="10" fillId="0" borderId="1" pivotButton="0" quotePrefix="0" xfId="0"/>
    <xf numFmtId="164" fontId="7" fillId="0" borderId="1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A3" authorId="0" shapeId="0">
      <text>
        <t>Los médicos se muestran con decimales porque la cancelación es un promedio; léelos como "aprox."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3" authorId="0" shapeId="0">
      <text>
        <t>Los médicos se muestran con decimales porque la cancelación es un promedio; léelos como "aprox."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3" authorId="0" shapeId="0">
      <text>
        <t>Los médicos se muestran con decimales porque la cancelación es un promedio; léelos como "aprox."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1" t="inlineStr">
        <is>
          <t>CODE CELLS™ — Resumen del modelo a 12 y 24 meses</t>
        </is>
      </c>
      <c r="B1" s="2" t="n"/>
      <c r="C1" s="2" t="n"/>
      <c r="D1" s="2" t="n"/>
      <c r="E1" s="2" t="n"/>
    </row>
    <row r="2">
      <c r="A2" s="3" t="inlineStr">
        <is>
          <t>MXN sin IVA. Todo se calcula desde la hoja Supuestos. Estimaciones: medir y corregir con el piloto.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Resultado</t>
        </is>
      </c>
      <c r="B4" s="4" t="inlineStr">
        <is>
          <t>Conservador</t>
        </is>
      </c>
      <c r="C4" s="4" t="inlineStr">
        <is>
          <t>Base</t>
        </is>
      </c>
      <c r="D4" s="4" t="inlineStr">
        <is>
          <t>Optimista</t>
        </is>
      </c>
      <c r="E4" s="4" t="inlineStr">
        <is>
          <t>Cómo leerlo</t>
        </is>
      </c>
    </row>
    <row r="5">
      <c r="A5" s="5" t="inlineStr">
        <is>
          <t>Médicos activos al mes 12 (nov-2027)</t>
        </is>
      </c>
      <c r="B5" s="6">
        <f>'Conservador'!N18</f>
        <v/>
      </c>
      <c r="C5" s="6">
        <f>'Base'!N18</f>
        <v/>
      </c>
      <c r="D5" s="6">
        <f>'Optimista'!N18</f>
        <v/>
      </c>
      <c r="E5" s="7" t="inlineStr"/>
    </row>
    <row r="6">
      <c r="A6" s="5" t="inlineStr">
        <is>
          <t>Médicos activos al mes 24 (nov-2028)</t>
        </is>
      </c>
      <c r="B6" s="6">
        <f>'Conservador'!Z18</f>
        <v/>
      </c>
      <c r="C6" s="6">
        <f>'Base'!Z18</f>
        <v/>
      </c>
      <c r="D6" s="6">
        <f>'Optimista'!Z18</f>
        <v/>
      </c>
      <c r="E6" s="7" t="inlineStr"/>
    </row>
    <row r="7">
      <c r="A7" s="5" t="inlineStr">
        <is>
          <t xml:space="preserve">   de ellos fundadores</t>
        </is>
      </c>
      <c r="B7" s="6">
        <f>'Conservador'!Z14</f>
        <v/>
      </c>
      <c r="C7" s="6">
        <f>'Base'!Z14</f>
        <v/>
      </c>
      <c r="D7" s="6">
        <f>'Optimista'!Z14</f>
        <v/>
      </c>
      <c r="E7" s="7" t="inlineStr">
        <is>
          <t>Los fundadores pagan el precio congelado.</t>
        </is>
      </c>
    </row>
    <row r="8">
      <c r="A8" s="5" t="inlineStr">
        <is>
          <t>Ingreso recurrente mensual (MRR) mes 12</t>
        </is>
      </c>
      <c r="B8" s="8">
        <f>'Conservador'!N26</f>
        <v/>
      </c>
      <c r="C8" s="8">
        <f>'Base'!N26</f>
        <v/>
      </c>
      <c r="D8" s="8">
        <f>'Optimista'!N26</f>
        <v/>
      </c>
      <c r="E8" s="7" t="inlineStr"/>
    </row>
    <row r="9">
      <c r="A9" s="5" t="inlineStr">
        <is>
          <t>Ingreso recurrente mensual (MRR) mes 24</t>
        </is>
      </c>
      <c r="B9" s="8">
        <f>'Conservador'!Z26</f>
        <v/>
      </c>
      <c r="C9" s="8">
        <f>'Base'!Z26</f>
        <v/>
      </c>
      <c r="D9" s="8">
        <f>'Optimista'!Z26</f>
        <v/>
      </c>
      <c r="E9" s="7" t="inlineStr"/>
    </row>
    <row r="10">
      <c r="A10" s="5" t="inlineStr">
        <is>
          <t>Ingreso recurrente anualizado (ARR) mes 24</t>
        </is>
      </c>
      <c r="B10" s="8">
        <f>'Conservador'!Z51</f>
        <v/>
      </c>
      <c r="C10" s="8">
        <f>'Base'!Z51</f>
        <v/>
      </c>
      <c r="D10" s="8">
        <f>'Optimista'!Z51</f>
        <v/>
      </c>
      <c r="E10" s="7" t="inlineStr">
        <is>
          <t>MRR × 12.</t>
        </is>
      </c>
    </row>
    <row r="11">
      <c r="A11" s="5" t="inlineStr">
        <is>
          <t>Ingreso total acumulado 24 meses</t>
        </is>
      </c>
      <c r="B11" s="8">
        <f>SUM('Conservador'!C29:Z29)</f>
        <v/>
      </c>
      <c r="C11" s="8">
        <f>SUM('Base'!C29:Z29)</f>
        <v/>
      </c>
      <c r="D11" s="8">
        <f>SUM('Optimista'!C29:Z29)</f>
        <v/>
      </c>
      <c r="E11" s="7" t="inlineStr"/>
    </row>
    <row r="12">
      <c r="A12" s="5" t="inlineStr">
        <is>
          <t>Margen de contribución mes 24</t>
        </is>
      </c>
      <c r="B12" s="9">
        <f>'Conservador'!Z39</f>
        <v/>
      </c>
      <c r="C12" s="9">
        <f>'Base'!Z39</f>
        <v/>
      </c>
      <c r="D12" s="9">
        <f>'Optimista'!Z39</f>
        <v/>
      </c>
      <c r="E12" s="7" t="inlineStr">
        <is>
          <t>Lo que queda de cada peso tras IA, cobro, soporte y migraciones.</t>
        </is>
      </c>
    </row>
    <row r="13">
      <c r="A13" s="5" t="inlineStr">
        <is>
          <t>Flujo acumulado al mes 12</t>
        </is>
      </c>
      <c r="B13" s="8">
        <f>'Conservador'!N50</f>
        <v/>
      </c>
      <c r="C13" s="8">
        <f>'Base'!N50</f>
        <v/>
      </c>
      <c r="D13" s="8">
        <f>'Optimista'!N50</f>
        <v/>
      </c>
      <c r="E13" s="7" t="inlineStr"/>
    </row>
    <row r="14">
      <c r="A14" s="5" t="inlineStr">
        <is>
          <t>Flujo acumulado al mes 24</t>
        </is>
      </c>
      <c r="B14" s="8">
        <f>'Conservador'!Z50</f>
        <v/>
      </c>
      <c r="C14" s="8">
        <f>'Base'!Z50</f>
        <v/>
      </c>
      <c r="D14" s="8">
        <f>'Optimista'!Z50</f>
        <v/>
      </c>
      <c r="E14" s="7" t="inlineStr">
        <is>
          <t>Negativo = todavía no recupera lo invertido.</t>
        </is>
      </c>
    </row>
    <row r="15">
      <c r="A15" s="5" t="inlineStr">
        <is>
          <t>Capital requerido (peor punto del flujo acumulado)</t>
        </is>
      </c>
      <c r="B15" s="8">
        <f>MAX(0,-MIN('Conservador'!C50:Z50))</f>
        <v/>
      </c>
      <c r="C15" s="8">
        <f>MAX(0,-MIN('Base'!C50:Z50))</f>
        <v/>
      </c>
      <c r="D15" s="8">
        <f>MAX(0,-MIN('Optimista'!C50:Z50))</f>
        <v/>
      </c>
      <c r="E15" s="7" t="inlineStr">
        <is>
          <t>El dinero que hay que tener para no quedarse sin caja.</t>
        </is>
      </c>
    </row>
    <row r="16">
      <c r="A16" s="5" t="inlineStr">
        <is>
          <t>Primer mes con flujo positivo (# de mes)</t>
        </is>
      </c>
      <c r="B16" s="10">
        <f>MIN('Conservador'!C52:Z52)</f>
        <v/>
      </c>
      <c r="C16" s="10">
        <f>MIN('Base'!C52:Z52)</f>
        <v/>
      </c>
      <c r="D16" s="10">
        <f>MIN('Optimista'!C52:Z52)</f>
        <v/>
      </c>
      <c r="E16" s="7" t="inlineStr">
        <is>
          <t>99 = no ocurre en 24 meses. Mes 1 = dic-2026.</t>
        </is>
      </c>
    </row>
    <row r="17">
      <c r="A17" s="2" t="n"/>
      <c r="B17" s="2" t="n"/>
      <c r="C17" s="2" t="n"/>
      <c r="D17" s="2" t="n"/>
      <c r="E17" s="2" t="n"/>
    </row>
    <row r="18">
      <c r="A18" s="4" t="inlineStr">
        <is>
          <t>Economía por médico al mes (estado estable)</t>
        </is>
      </c>
      <c r="B18" s="4" t="inlineStr">
        <is>
          <t>Red</t>
        </is>
      </c>
      <c r="C18" s="4" t="inlineStr">
        <is>
          <t>Clínico</t>
        </is>
      </c>
      <c r="D18" s="4" t="inlineStr">
        <is>
          <t>Fundador*</t>
        </is>
      </c>
      <c r="E18" s="11" t="n"/>
    </row>
    <row r="19">
      <c r="A19" s="2" t="inlineStr">
        <is>
          <t>Ingreso sin IVA</t>
        </is>
      </c>
      <c r="B19" s="12">
        <f>Supuestos!$B$5/(1+Supuestos!$B$10)</f>
        <v/>
      </c>
      <c r="C19" s="12">
        <f>Supuestos!$B$6/(1+Supuestos!$B$10)</f>
        <v/>
      </c>
      <c r="D19" s="12">
        <f>Supuestos!$B$8/(1+Supuestos!$B$10)</f>
        <v/>
      </c>
      <c r="E19" s="2" t="n"/>
    </row>
    <row r="20">
      <c r="A20" s="2" t="inlineStr">
        <is>
          <t>IA + almacenamiento</t>
        </is>
      </c>
      <c r="B20" s="12">
        <f>Supuestos!$B$17*Supuestos!$B$14</f>
        <v/>
      </c>
      <c r="C20" s="12">
        <f>(Supuestos!$B$18+Supuestos!$B$19)*Supuestos!$B$14</f>
        <v/>
      </c>
      <c r="D20" s="12">
        <f>C20</f>
        <v/>
      </c>
      <c r="E20" s="2" t="n"/>
    </row>
    <row r="21">
      <c r="A21" s="2" t="inlineStr">
        <is>
          <t>Comisión de cobro + factura</t>
        </is>
      </c>
      <c r="B21" s="12">
        <f>(Supuestos!$B$23+Supuestos!$B$5*Supuestos!$B$22)*(1+Supuestos!$B$10)+Supuestos!$B$24</f>
        <v/>
      </c>
      <c r="C21" s="12">
        <f>(Supuestos!$B$23+Supuestos!$B$6*Supuestos!$B$22)*(1+Supuestos!$B$10)+Supuestos!$B$24</f>
        <v/>
      </c>
      <c r="D21" s="12">
        <f>(Supuestos!$B$23+Supuestos!$B$8*Supuestos!$B$22)*(1+Supuestos!$B$10)+Supuestos!$B$24</f>
        <v/>
      </c>
      <c r="E21" s="2" t="n"/>
    </row>
    <row r="22">
      <c r="A22" s="2" t="inlineStr">
        <is>
          <t>Soporte</t>
        </is>
      </c>
      <c r="B22" s="12">
        <f>Supuestos!$B$28*Supuestos!$B$29</f>
        <v/>
      </c>
      <c r="C22" s="12">
        <f>Supuestos!$B$28*Supuestos!$B$29</f>
        <v/>
      </c>
      <c r="D22" s="12">
        <f>Supuestos!$B$28*Supuestos!$B$29</f>
        <v/>
      </c>
      <c r="E22" s="2" t="n"/>
    </row>
    <row r="23">
      <c r="A23" s="13" t="inlineStr">
        <is>
          <t>Contribución por médico</t>
        </is>
      </c>
      <c r="B23" s="14">
        <f>B19-B20-B21-B22</f>
        <v/>
      </c>
      <c r="C23" s="14">
        <f>C19-C20-C21-C22</f>
        <v/>
      </c>
      <c r="D23" s="14">
        <f>D19-D20-D21-D22</f>
        <v/>
      </c>
      <c r="E23" s="2" t="n"/>
    </row>
    <row r="24">
      <c r="A24" s="2" t="inlineStr">
        <is>
          <t>Contribución %</t>
        </is>
      </c>
      <c r="B24" s="15">
        <f>IF(B19=0,0,B23/B19)</f>
        <v/>
      </c>
      <c r="C24" s="15">
        <f>IF(C19=0,0,C23/C19)</f>
        <v/>
      </c>
      <c r="D24" s="15">
        <f>IF(D19=0,0,D23/D19)</f>
        <v/>
      </c>
      <c r="E24" s="2" t="n"/>
    </row>
    <row r="25">
      <c r="A25" s="16" t="inlineStr">
        <is>
          <t>* Fundador ya con portal clínico (después del lanzamiento).</t>
        </is>
      </c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4" t="inlineStr">
        <is>
          <t>Punto de equilibrio</t>
        </is>
      </c>
      <c r="B27" s="11" t="n"/>
      <c r="C27" s="11" t="n"/>
      <c r="D27" s="11" t="n"/>
      <c r="E27" s="11" t="n"/>
    </row>
    <row r="28">
      <c r="A28" s="2" t="inlineStr">
        <is>
          <t>Costos fijos mensuales tras el lanzamiento (infra + contador + sueldo)</t>
        </is>
      </c>
      <c r="B28" s="17">
        <f>(Supuestos!$B$15+Supuestos!$B$16)*Supuestos!$B$14+Supuestos!$B$27+Supuestos!$B$31</f>
        <v/>
      </c>
      <c r="C28" s="2" t="n"/>
      <c r="D28" s="2" t="n"/>
      <c r="E28" s="2" t="n"/>
    </row>
    <row r="29">
      <c r="A29" s="2" t="inlineStr">
        <is>
          <t>Médicos Clínico necesarios para cubrir los fijos</t>
        </is>
      </c>
      <c r="B29" s="18">
        <f>IF(C23&lt;=0,"No se cubre",ROUNDUP(B28/C23,0))</f>
        <v/>
      </c>
      <c r="C29" s="2" t="n"/>
      <c r="D29" s="2" t="n"/>
      <c r="E29" s="7" t="inlineStr">
        <is>
          <t>Sin contar adquisición ni pagos únicos.</t>
        </is>
      </c>
    </row>
    <row r="30">
      <c r="A30" s="2" t="inlineStr">
        <is>
          <t>Médicos fundadores necesarios para cubrir los fijos</t>
        </is>
      </c>
      <c r="B30" s="18">
        <f>IF(D23&lt;=0,"No se cubre",ROUNDUP(B28/D23,0))</f>
        <v/>
      </c>
      <c r="C30" s="2" t="n"/>
      <c r="D30" s="2" t="n"/>
      <c r="E30" s="2" t="n"/>
    </row>
    <row r="31">
      <c r="A31" s="2" t="inlineStr">
        <is>
          <t>Médicos Clínico necesarios para pagarte un sueldo de</t>
        </is>
      </c>
      <c r="B31" s="19" t="n">
        <v>40000</v>
      </c>
      <c r="C31" s="18">
        <f>IF(C23&lt;=0,"No se cubre",ROUNDUP((B28-Supuestos!$B$31+B31)/C23,0))</f>
        <v/>
      </c>
      <c r="D31" s="2" t="n"/>
      <c r="E31" s="7" t="inlineStr">
        <is>
          <t>Cambia el monto en azul. Resultado en la columna 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70" customWidth="1" min="5" max="5"/>
  </cols>
  <sheetData>
    <row r="1">
      <c r="A1" s="1" t="inlineStr">
        <is>
          <t>CODE CELLS™ — Modelo financiero 24 meses (dic-2026 a nov-2028)</t>
        </is>
      </c>
      <c r="B1" s="2" t="n"/>
      <c r="C1" s="2" t="n"/>
      <c r="D1" s="2" t="n"/>
      <c r="E1" s="2" t="n"/>
    </row>
    <row r="2" ht="30" customHeight="1">
      <c r="A2" s="20" t="inlineStr">
        <is>
          <t>Cómo usarlo: cambia solo las celdas en AZUL (las amarillas son las decisiones clave). Todo lo demás se calcula. Montos en MXN salvo que diga USD. Generado 2026-10-19.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Precios (MXN, con IVA)</t>
        </is>
      </c>
      <c r="B4" s="11" t="n"/>
      <c r="C4" s="11" t="n"/>
      <c r="D4" s="11" t="n"/>
      <c r="E4" s="4" t="inlineStr">
        <is>
          <t>Fuente / nota</t>
        </is>
      </c>
    </row>
    <row r="5">
      <c r="A5" s="5" t="inlineStr">
        <is>
          <t>Precio plan Red (mensual)</t>
        </is>
      </c>
      <c r="B5" s="19" t="n">
        <v>600</v>
      </c>
      <c r="C5" s="2" t="n"/>
      <c r="D5" s="2" t="n"/>
      <c r="E5" s="21" t="inlineStr">
        <is>
          <t>Dato de Víctor 2026-10-19. Directorio + solicitudes de cita.</t>
        </is>
      </c>
    </row>
    <row r="6">
      <c r="A6" s="5" t="inlineStr">
        <is>
          <t>Precio plan Clínico (mensual, incluye todo)</t>
        </is>
      </c>
      <c r="B6" s="19" t="n">
        <v>1100</v>
      </c>
      <c r="C6" s="2" t="n"/>
      <c r="D6" s="2" t="n"/>
      <c r="E6" s="21" t="inlineStr">
        <is>
          <t>Dato de Víctor 2026-10-19. Red + portal clínico + NOVA + app del paciente.</t>
        </is>
      </c>
    </row>
    <row r="7">
      <c r="A7" s="5" t="inlineStr">
        <is>
          <t>Precio fundador mientras solo existe Red (mensual)</t>
        </is>
      </c>
      <c r="B7" s="19" t="n">
        <v>600</v>
      </c>
      <c r="C7" s="2" t="n"/>
      <c r="D7" s="2" t="n"/>
      <c r="E7" s="21" t="inlineStr">
        <is>
          <t>Propuesta: el fundador paga lo mismo que Red mientras el portal clínico no existe.</t>
        </is>
      </c>
    </row>
    <row r="8">
      <c r="A8" s="5" t="inlineStr">
        <is>
          <t>Precio fundador con portal clínico (mensual)</t>
        </is>
      </c>
      <c r="B8" s="19" t="n">
        <v>800</v>
      </c>
      <c r="C8" s="2" t="n"/>
      <c r="D8" s="2" t="n"/>
      <c r="E8" s="21" t="inlineStr">
        <is>
          <t>Propuesta: al lanzarse el Clínico el fundador lo recibe a este precio congelado 24 meses (36 los primeros 25), contra 1 100 de lista. A 600 su contribución cae a ~147 MXN (28%). En 24 meses ningún fundador sale del precio congelado.</t>
        </is>
      </c>
    </row>
    <row r="9">
      <c r="A9" s="5" t="inlineStr">
        <is>
          <t>Lugares de fundador</t>
        </is>
      </c>
      <c r="B9" s="22" t="n">
        <v>100</v>
      </c>
      <c r="C9" s="2" t="n"/>
      <c r="D9" s="2" t="n"/>
      <c r="E9" s="21" t="inlineStr">
        <is>
          <t>Oferta de 100 médicos fundadores.</t>
        </is>
      </c>
    </row>
    <row r="10">
      <c r="A10" s="5" t="inlineStr">
        <is>
          <t>IVA</t>
        </is>
      </c>
      <c r="B10" s="23" t="n">
        <v>0.16</v>
      </c>
      <c r="C10" s="2" t="n"/>
      <c r="D10" s="2" t="n"/>
      <c r="E10" s="21" t="inlineStr">
        <is>
          <t>Los ingresos del modelo se calculan SIN IVA (el IVA se entera al SAT).</t>
        </is>
      </c>
    </row>
    <row r="11">
      <c r="A11" s="5" t="inlineStr">
        <is>
          <t>Precio de migración por paciente (con IVA)</t>
        </is>
      </c>
      <c r="B11" s="19" t="n">
        <v>58</v>
      </c>
      <c r="C11" s="2" t="n"/>
      <c r="D11" s="2" t="n"/>
      <c r="E11" s="21" t="inlineStr">
        <is>
          <t>Propuesta (Víctor decidió que la migración se cobra aparte): ~50 + IVA por paciente. Costo estimado ~32 por paciente (ver bloque Migración).</t>
        </is>
      </c>
    </row>
    <row r="12">
      <c r="A12" s="2" t="n"/>
      <c r="B12" s="2" t="n"/>
      <c r="C12" s="2" t="n"/>
      <c r="D12" s="2" t="n"/>
      <c r="E12" s="2" t="n"/>
    </row>
    <row r="13">
      <c r="A13" s="4" t="inlineStr">
        <is>
          <t>Tipo de cambio y costos en USD</t>
        </is>
      </c>
      <c r="B13" s="11" t="n"/>
      <c r="C13" s="11" t="n"/>
      <c r="D13" s="11" t="n"/>
      <c r="E13" s="4" t="inlineStr">
        <is>
          <t>Fuente / nota</t>
        </is>
      </c>
    </row>
    <row r="14">
      <c r="A14" s="5" t="inlineStr">
        <is>
          <t>Tipo de cambio MXN por USD</t>
        </is>
      </c>
      <c r="B14" s="24" t="n">
        <v>18.49</v>
      </c>
      <c r="C14" s="2" t="n"/>
      <c r="D14" s="2" t="n"/>
      <c r="E14" s="21" t="inlineStr">
        <is>
          <t>FIX Banxico 16-oct-2026 (18.4930). Prueba con 21 para ver el efecto de una devaluación.</t>
        </is>
      </c>
    </row>
    <row r="15">
      <c r="A15" s="5" t="inlineStr">
        <is>
          <t>Infraestructura actual (USD/mes)</t>
        </is>
      </c>
      <c r="B15" s="25" t="n">
        <v>68.33</v>
      </c>
      <c r="C15" s="2" t="n"/>
      <c r="D15" s="2" t="n"/>
      <c r="E15" s="21" t="inlineStr">
        <is>
          <t>Dato de Víctor: Airtable 20 + Vercel 20 + API Anthropic 20 + dominio 100/año.</t>
        </is>
      </c>
    </row>
    <row r="16">
      <c r="A16" s="5" t="inlineStr">
        <is>
          <t>Infraestructura nueva desde el lanzamiento Clínico (USD/mes)</t>
        </is>
      </c>
      <c r="B16" s="25" t="n">
        <v>80</v>
      </c>
      <c r="C16" s="2" t="n"/>
      <c r="D16" s="2" t="n"/>
      <c r="E16" s="21" t="inlineStr">
        <is>
          <t>Estimado: PostgreSQL ~25, respaldos, monitoreo 0–26, correo 0–20, Cloudflare R2. Ver docs/VALUACION-2026-10-19.md §4.</t>
        </is>
      </c>
    </row>
    <row r="17">
      <c r="A17" s="5" t="inlineStr">
        <is>
          <t>IA por médico en plan Red (USD/mes)</t>
        </is>
      </c>
      <c r="B17" s="25" t="n">
        <v>0.5</v>
      </c>
      <c r="C17" s="2" t="n"/>
      <c r="D17" s="2" t="n"/>
      <c r="E17" s="21" t="inlineStr">
        <is>
          <t>Estimado: el directorio casi no usa NOVA.</t>
        </is>
      </c>
    </row>
    <row r="18">
      <c r="A18" s="5" t="inlineStr">
        <is>
          <t>IA por médico en plan Clínico (USD/mes)</t>
        </is>
      </c>
      <c r="B18" s="26" t="n">
        <v>14.1</v>
      </c>
      <c r="C18" s="2" t="n"/>
      <c r="D18" s="2" t="n"/>
      <c r="E18" s="21" t="inlineStr">
        <is>
          <t>Estimado con caché de instrucciones: mezcla 30% bajo (4) / 50% medio (13) / 20% alto (32). SIN caché se duplica (~28). Tope de NOVA por paciente (decisión de Víctor).</t>
        </is>
      </c>
    </row>
    <row r="19">
      <c r="A19" s="5" t="inlineStr">
        <is>
          <t>Almacenamiento por médico Clínico (USD/mes)</t>
        </is>
      </c>
      <c r="B19" s="25" t="n">
        <v>0.2</v>
      </c>
      <c r="C19" s="2" t="n"/>
      <c r="D19" s="2" t="n"/>
      <c r="E19" s="21" t="inlineStr">
        <is>
          <t>Estimado: originales de estudios en Cloudflare R2 a 0.015 USD/GB.</t>
        </is>
      </c>
    </row>
    <row r="20">
      <c r="A20" s="2" t="n"/>
      <c r="B20" s="2" t="n"/>
      <c r="C20" s="2" t="n"/>
      <c r="D20" s="2" t="n"/>
      <c r="E20" s="2" t="n"/>
    </row>
    <row r="21">
      <c r="A21" s="4" t="inlineStr">
        <is>
          <t>Cobro</t>
        </is>
      </c>
      <c r="B21" s="11" t="n"/>
      <c r="C21" s="11" t="n"/>
      <c r="D21" s="11" t="n"/>
      <c r="E21" s="4" t="inlineStr">
        <is>
          <t>Fuente / nota</t>
        </is>
      </c>
    </row>
    <row r="22">
      <c r="A22" s="5" t="inlineStr">
        <is>
          <t>Comisión de la pasarela (% del cobro)</t>
        </is>
      </c>
      <c r="B22" s="23" t="n">
        <v>0.036</v>
      </c>
      <c r="C22" s="2" t="n"/>
      <c r="D22" s="2" t="n"/>
      <c r="E22" s="21" t="inlineStr">
        <is>
          <t>Secundario: Stripe México ~3.6% + 3 MXN por tarjeta nacional. Se suma IVA sobre la comisión.</t>
        </is>
      </c>
    </row>
    <row r="23">
      <c r="A23" s="5" t="inlineStr">
        <is>
          <t>Comisión fija por cobro (MXN)</t>
        </is>
      </c>
      <c r="B23" s="27" t="n">
        <v>3</v>
      </c>
      <c r="C23" s="2" t="n"/>
      <c r="D23" s="2" t="n"/>
      <c r="E23" s="21" t="inlineStr">
        <is>
          <t>Secundario (Stripe).</t>
        </is>
      </c>
    </row>
    <row r="24">
      <c r="A24" s="5" t="inlineStr">
        <is>
          <t>Timbrado CFDI por factura (MXN)</t>
        </is>
      </c>
      <c r="B24" s="27" t="n">
        <v>2</v>
      </c>
      <c r="C24" s="2" t="n"/>
      <c r="D24" s="2" t="n"/>
      <c r="E24" s="21" t="inlineStr">
        <is>
          <t>Secundario: 0.50–2 MXN por folio según el PAC.</t>
        </is>
      </c>
    </row>
    <row r="25">
      <c r="A25" s="2" t="n"/>
      <c r="B25" s="2" t="n"/>
      <c r="C25" s="2" t="n"/>
      <c r="D25" s="2" t="n"/>
      <c r="E25" s="2" t="n"/>
    </row>
    <row r="26">
      <c r="A26" s="4" t="inlineStr">
        <is>
          <t>Operación</t>
        </is>
      </c>
      <c r="B26" s="11" t="n"/>
      <c r="C26" s="11" t="n"/>
      <c r="D26" s="11" t="n"/>
      <c r="E26" s="4" t="inlineStr">
        <is>
          <t>Fuente / nota</t>
        </is>
      </c>
    </row>
    <row r="27">
      <c r="A27" s="5" t="inlineStr">
        <is>
          <t>Contador (MXN/mes)</t>
        </is>
      </c>
      <c r="B27" s="19" t="n">
        <v>2500</v>
      </c>
      <c r="C27" s="2" t="n"/>
      <c r="D27" s="2" t="n"/>
      <c r="E27" s="21" t="inlineStr">
        <is>
          <t>COTIZAR. Valor de ejemplo.</t>
        </is>
      </c>
    </row>
    <row r="28">
      <c r="A28" s="5" t="inlineStr">
        <is>
          <t>Horas de soporte por médico al mes</t>
        </is>
      </c>
      <c r="B28" s="28" t="n">
        <v>0.5</v>
      </c>
      <c r="C28" s="2" t="n"/>
      <c r="D28" s="2" t="n"/>
      <c r="E28" s="21" t="inlineStr">
        <is>
          <t>Estimado.</t>
        </is>
      </c>
    </row>
    <row r="29">
      <c r="A29" s="5" t="inlineStr">
        <is>
          <t>Costo por hora de soporte (MXN)</t>
        </is>
      </c>
      <c r="B29" s="27" t="n">
        <v>150</v>
      </c>
      <c r="C29" s="2" t="n"/>
      <c r="D29" s="2" t="n"/>
      <c r="E29" s="21" t="inlineStr">
        <is>
          <t>Estimado (asistente de soporte).</t>
        </is>
      </c>
    </row>
    <row r="30">
      <c r="A30" s="5" t="inlineStr">
        <is>
          <t>Costo de adquisición por médico nuevo (MXN)</t>
        </is>
      </c>
      <c r="B30" s="19" t="n">
        <v>1500</v>
      </c>
      <c r="C30" s="2" t="n"/>
      <c r="D30" s="2" t="n"/>
      <c r="E30" s="21" t="inlineStr">
        <is>
          <t>Estimado: publicidad, visitas, demo. Medirlo en el piloto.</t>
        </is>
      </c>
    </row>
    <row r="31">
      <c r="A31" s="5" t="inlineStr">
        <is>
          <t>Sueldo de Víctor (MXN/mes)</t>
        </is>
      </c>
      <c r="B31" s="19" t="n">
        <v>0</v>
      </c>
      <c r="C31" s="2" t="n"/>
      <c r="D31" s="2" t="n"/>
      <c r="E31" s="21" t="inlineStr">
        <is>
          <t>Decisión: en 0 el modelo muestra el flujo sin pagar tu tiempo. Ponle un monto para ver cuándo se sostiene pagándote.</t>
        </is>
      </c>
    </row>
    <row r="32">
      <c r="A32" s="5" t="inlineStr">
        <is>
          <t>Abogado (pago único, mes 1)</t>
        </is>
      </c>
      <c r="B32" s="19" t="n">
        <v>40000</v>
      </c>
      <c r="C32" s="2" t="n"/>
      <c r="D32" s="2" t="n"/>
      <c r="E32" s="21" t="inlineStr">
        <is>
          <t>COTIZAR: aviso de privacidad clínico, contrato de afiliación, términos.</t>
        </is>
      </c>
    </row>
    <row r="33">
      <c r="A33" s="5" t="inlineStr">
        <is>
          <t>Prueba de penetración (pago único, mes de lanzamiento Clínico)</t>
        </is>
      </c>
      <c r="B33" s="19" t="n">
        <v>50000</v>
      </c>
      <c r="C33" s="2" t="n"/>
      <c r="D33" s="2" t="n"/>
      <c r="E33" s="21" t="inlineStr">
        <is>
          <t>COTIZAR.</t>
        </is>
      </c>
    </row>
    <row r="34">
      <c r="A34" s="5" t="inlineStr">
        <is>
          <t>Mes de lanzamiento del plan Clínico (1 = dic-2026)</t>
        </is>
      </c>
      <c r="B34" s="29" t="n">
        <v>6</v>
      </c>
      <c r="C34" s="2" t="n"/>
      <c r="D34" s="2" t="n"/>
      <c r="E34" s="21" t="inlineStr">
        <is>
          <t>Supuesto: mayo-2027, tras acta constitutiva + IMPI + abogado.</t>
        </is>
      </c>
    </row>
    <row r="35">
      <c r="A35" s="2" t="n"/>
      <c r="B35" s="2" t="n"/>
      <c r="C35" s="2" t="n"/>
      <c r="D35" s="2" t="n"/>
      <c r="E35" s="2" t="n"/>
    </row>
    <row r="36">
      <c r="A36" s="4" t="inlineStr">
        <is>
          <t>Migración de expedientes (costo de producirla)</t>
        </is>
      </c>
      <c r="B36" s="11" t="n"/>
      <c r="C36" s="11" t="n"/>
      <c r="D36" s="11" t="n"/>
      <c r="E36" s="4" t="inlineStr">
        <is>
          <t>Fuente / nota</t>
        </is>
      </c>
    </row>
    <row r="37">
      <c r="A37" s="5" t="inlineStr">
        <is>
          <t>Pacientes promedio por migración</t>
        </is>
      </c>
      <c r="B37" s="22" t="n">
        <v>200</v>
      </c>
      <c r="C37" s="2" t="n"/>
      <c r="D37" s="2" t="n"/>
      <c r="E37" s="21" t="inlineStr">
        <is>
          <t>Estimado.</t>
        </is>
      </c>
    </row>
    <row r="38">
      <c r="A38" s="5" t="inlineStr">
        <is>
          <t>Páginas por paciente</t>
        </is>
      </c>
      <c r="B38" s="22" t="n">
        <v>10</v>
      </c>
      <c r="C38" s="2" t="n"/>
      <c r="D38" s="2" t="n"/>
      <c r="E38" s="21" t="inlineStr">
        <is>
          <t>Estimado.</t>
        </is>
      </c>
    </row>
    <row r="39">
      <c r="A39" s="5" t="inlineStr">
        <is>
          <t>IA por página (USD)</t>
        </is>
      </c>
      <c r="B39" s="30" t="n">
        <v>0.013</v>
      </c>
      <c r="C39" s="2" t="n"/>
      <c r="D39" s="2" t="n"/>
      <c r="E39" s="21" t="inlineStr">
        <is>
          <t>Estimado (lectura de imagen con Claude Sonnet 5; la mitad en modo por lotes).</t>
        </is>
      </c>
    </row>
    <row r="40">
      <c r="A40" s="5" t="inlineStr">
        <is>
          <t>Minutos de revisión humana por página</t>
        </is>
      </c>
      <c r="B40" s="28" t="n">
        <v>1.5</v>
      </c>
      <c r="C40" s="2" t="n"/>
      <c r="D40" s="2" t="n"/>
      <c r="E40" s="21" t="inlineStr">
        <is>
          <t>Estimado: verificar identidad y valores (no se inventa nada).</t>
        </is>
      </c>
    </row>
    <row r="41">
      <c r="A41" s="5" t="inlineStr">
        <is>
          <t>Costo por hora de revisión (MXN)</t>
        </is>
      </c>
      <c r="B41" s="27" t="n">
        <v>120</v>
      </c>
      <c r="C41" s="2" t="n"/>
      <c r="D41" s="2" t="n"/>
      <c r="E41" s="21" t="inlineStr">
        <is>
          <t>Estimado.</t>
        </is>
      </c>
    </row>
    <row r="42">
      <c r="A42" s="2" t="n"/>
      <c r="B42" s="2" t="n"/>
      <c r="C42" s="2" t="n"/>
      <c r="D42" s="2" t="n"/>
      <c r="E42" s="2" t="n"/>
    </row>
    <row r="43">
      <c r="A43" s="4" t="inlineStr">
        <is>
          <t>Escenarios</t>
        </is>
      </c>
      <c r="B43" s="31" t="inlineStr">
        <is>
          <t>Conservador</t>
        </is>
      </c>
      <c r="C43" s="31" t="inlineStr">
        <is>
          <t>Base</t>
        </is>
      </c>
      <c r="D43" s="31" t="inlineStr">
        <is>
          <t>Optimista</t>
        </is>
      </c>
      <c r="E43" s="4" t="inlineStr">
        <is>
          <t>Fuente / nota</t>
        </is>
      </c>
    </row>
    <row r="44">
      <c r="A44" s="5" t="inlineStr">
        <is>
          <t>Médicos nuevos por mes</t>
        </is>
      </c>
      <c r="B44" s="29" t="n">
        <v>3</v>
      </c>
      <c r="C44" s="29" t="n">
        <v>6</v>
      </c>
      <c r="D44" s="29" t="n">
        <v>10</v>
      </c>
      <c r="E44" s="21" t="inlineStr">
        <is>
          <t>Estimado. El piloto de diciembre es de 5–10 médicos.</t>
        </is>
      </c>
    </row>
    <row r="45">
      <c r="A45" s="5" t="inlineStr">
        <is>
          <t>Cancelación mensual</t>
        </is>
      </c>
      <c r="B45" s="32" t="n">
        <v>0.04</v>
      </c>
      <c r="C45" s="32" t="n">
        <v>0.03</v>
      </c>
      <c r="D45" s="32" t="n">
        <v>0.02</v>
      </c>
      <c r="E45" s="21" t="inlineStr">
        <is>
          <t>Estimado. SaaS para médicos pequeños: 2–5% mensual es un rango común.</t>
        </is>
      </c>
    </row>
    <row r="46">
      <c r="A46" s="5" t="inlineStr">
        <is>
          <t>% de médicos nuevos (no fundadores) que eligen Clínico tras el lanzamiento</t>
        </is>
      </c>
      <c r="B46" s="23" t="n">
        <v>0.4</v>
      </c>
      <c r="C46" s="23" t="n">
        <v>0.5</v>
      </c>
      <c r="D46" s="23" t="n">
        <v>0.6</v>
      </c>
      <c r="E46" s="21" t="inlineStr">
        <is>
          <t>Estimado.</t>
        </is>
      </c>
    </row>
    <row r="47">
      <c r="A47" s="5" t="inlineStr">
        <is>
          <t>% de médicos Red que suben a Clínico cada mes tras el lanzamiento</t>
        </is>
      </c>
      <c r="B47" s="23" t="n">
        <v>0.03</v>
      </c>
      <c r="C47" s="23" t="n">
        <v>0.05</v>
      </c>
      <c r="D47" s="23" t="n">
        <v>0.08</v>
      </c>
      <c r="E47" s="21" t="inlineStr">
        <is>
          <t>Estimado.</t>
        </is>
      </c>
    </row>
    <row r="48">
      <c r="A48" s="5" t="inlineStr">
        <is>
          <t>% de médicos que entran a Clínico y compran migración</t>
        </is>
      </c>
      <c r="B48" s="23" t="n">
        <v>0.2</v>
      </c>
      <c r="C48" s="23" t="n">
        <v>0.3</v>
      </c>
      <c r="D48" s="23" t="n">
        <v>0.4</v>
      </c>
      <c r="E48" s="21" t="inlineStr">
        <is>
          <t>Estimado.</t>
        </is>
      </c>
    </row>
  </sheetData>
  <mergeCells count="1">
    <mergeCell ref="A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Escenario Conservador — mes a mes (MXN sin IVA)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Mes #</t>
        </is>
      </c>
      <c r="B3" s="2" t="n"/>
      <c r="C3" s="33" t="n">
        <v>1</v>
      </c>
      <c r="D3" s="33" t="n">
        <v>2</v>
      </c>
      <c r="E3" s="33" t="n">
        <v>3</v>
      </c>
      <c r="F3" s="33" t="n">
        <v>4</v>
      </c>
      <c r="G3" s="33" t="n">
        <v>5</v>
      </c>
      <c r="H3" s="33" t="n">
        <v>6</v>
      </c>
      <c r="I3" s="33" t="n">
        <v>7</v>
      </c>
      <c r="J3" s="33" t="n">
        <v>8</v>
      </c>
      <c r="K3" s="33" t="n">
        <v>9</v>
      </c>
      <c r="L3" s="33" t="n">
        <v>10</v>
      </c>
      <c r="M3" s="33" t="n">
        <v>11</v>
      </c>
      <c r="N3" s="33" t="n">
        <v>12</v>
      </c>
      <c r="O3" s="33" t="n">
        <v>13</v>
      </c>
      <c r="P3" s="33" t="n">
        <v>14</v>
      </c>
      <c r="Q3" s="33" t="n">
        <v>15</v>
      </c>
      <c r="R3" s="33" t="n">
        <v>16</v>
      </c>
      <c r="S3" s="33" t="n">
        <v>17</v>
      </c>
      <c r="T3" s="33" t="n">
        <v>18</v>
      </c>
      <c r="U3" s="33" t="n">
        <v>19</v>
      </c>
      <c r="V3" s="33" t="n">
        <v>20</v>
      </c>
      <c r="W3" s="33" t="n">
        <v>21</v>
      </c>
      <c r="X3" s="33" t="n">
        <v>22</v>
      </c>
      <c r="Y3" s="33" t="n">
        <v>23</v>
      </c>
      <c r="Z3" s="33" t="n">
        <v>24</v>
      </c>
    </row>
    <row r="4">
      <c r="A4" s="5" t="inlineStr">
        <is>
          <t>Mes</t>
        </is>
      </c>
      <c r="B4" s="2" t="n"/>
      <c r="C4" s="33" t="inlineStr">
        <is>
          <t>dic-2026</t>
        </is>
      </c>
      <c r="D4" s="33" t="inlineStr">
        <is>
          <t>ene-2027</t>
        </is>
      </c>
      <c r="E4" s="33" t="inlineStr">
        <is>
          <t>feb-2027</t>
        </is>
      </c>
      <c r="F4" s="33" t="inlineStr">
        <is>
          <t>mar-2027</t>
        </is>
      </c>
      <c r="G4" s="33" t="inlineStr">
        <is>
          <t>abr-2027</t>
        </is>
      </c>
      <c r="H4" s="33" t="inlineStr">
        <is>
          <t>may-2027</t>
        </is>
      </c>
      <c r="I4" s="33" t="inlineStr">
        <is>
          <t>jun-2027</t>
        </is>
      </c>
      <c r="J4" s="33" t="inlineStr">
        <is>
          <t>jul-2027</t>
        </is>
      </c>
      <c r="K4" s="33" t="inlineStr">
        <is>
          <t>ago-2027</t>
        </is>
      </c>
      <c r="L4" s="33" t="inlineStr">
        <is>
          <t>sep-2027</t>
        </is>
      </c>
      <c r="M4" s="33" t="inlineStr">
        <is>
          <t>oct-2027</t>
        </is>
      </c>
      <c r="N4" s="33" t="inlineStr">
        <is>
          <t>nov-2027</t>
        </is>
      </c>
      <c r="O4" s="33" t="inlineStr">
        <is>
          <t>dic-2027</t>
        </is>
      </c>
      <c r="P4" s="33" t="inlineStr">
        <is>
          <t>ene-2028</t>
        </is>
      </c>
      <c r="Q4" s="33" t="inlineStr">
        <is>
          <t>feb-2028</t>
        </is>
      </c>
      <c r="R4" s="33" t="inlineStr">
        <is>
          <t>mar-2028</t>
        </is>
      </c>
      <c r="S4" s="33" t="inlineStr">
        <is>
          <t>abr-2028</t>
        </is>
      </c>
      <c r="T4" s="33" t="inlineStr">
        <is>
          <t>may-2028</t>
        </is>
      </c>
      <c r="U4" s="33" t="inlineStr">
        <is>
          <t>jun-2028</t>
        </is>
      </c>
      <c r="V4" s="33" t="inlineStr">
        <is>
          <t>jul-2028</t>
        </is>
      </c>
      <c r="W4" s="33" t="inlineStr">
        <is>
          <t>ago-2028</t>
        </is>
      </c>
      <c r="X4" s="33" t="inlineStr">
        <is>
          <t>sep-2028</t>
        </is>
      </c>
      <c r="Y4" s="33" t="inlineStr">
        <is>
          <t>oct-2028</t>
        </is>
      </c>
      <c r="Z4" s="33" t="inlineStr">
        <is>
          <t>nov-2028</t>
        </is>
      </c>
    </row>
    <row r="5">
      <c r="A5" s="5" t="inlineStr">
        <is>
          <t>Plan Clínico disponible (1 = sí)</t>
        </is>
      </c>
      <c r="B5" s="2" t="n"/>
      <c r="C5" s="34">
        <f>IF(C3&gt;=Supuestos!$B$34,1,0)</f>
        <v/>
      </c>
      <c r="D5" s="34">
        <f>IF(D3&gt;=Supuestos!$B$34,1,0)</f>
        <v/>
      </c>
      <c r="E5" s="34">
        <f>IF(E3&gt;=Supuestos!$B$34,1,0)</f>
        <v/>
      </c>
      <c r="F5" s="34">
        <f>IF(F3&gt;=Supuestos!$B$34,1,0)</f>
        <v/>
      </c>
      <c r="G5" s="34">
        <f>IF(G3&gt;=Supuestos!$B$34,1,0)</f>
        <v/>
      </c>
      <c r="H5" s="34">
        <f>IF(H3&gt;=Supuestos!$B$34,1,0)</f>
        <v/>
      </c>
      <c r="I5" s="34">
        <f>IF(I3&gt;=Supuestos!$B$34,1,0)</f>
        <v/>
      </c>
      <c r="J5" s="34">
        <f>IF(J3&gt;=Supuestos!$B$34,1,0)</f>
        <v/>
      </c>
      <c r="K5" s="34">
        <f>IF(K3&gt;=Supuestos!$B$34,1,0)</f>
        <v/>
      </c>
      <c r="L5" s="34">
        <f>IF(L3&gt;=Supuestos!$B$34,1,0)</f>
        <v/>
      </c>
      <c r="M5" s="34">
        <f>IF(M3&gt;=Supuestos!$B$34,1,0)</f>
        <v/>
      </c>
      <c r="N5" s="34">
        <f>IF(N3&gt;=Supuestos!$B$34,1,0)</f>
        <v/>
      </c>
      <c r="O5" s="34">
        <f>IF(O3&gt;=Supuestos!$B$34,1,0)</f>
        <v/>
      </c>
      <c r="P5" s="34">
        <f>IF(P3&gt;=Supuestos!$B$34,1,0)</f>
        <v/>
      </c>
      <c r="Q5" s="34">
        <f>IF(Q3&gt;=Supuestos!$B$34,1,0)</f>
        <v/>
      </c>
      <c r="R5" s="34">
        <f>IF(R3&gt;=Supuestos!$B$34,1,0)</f>
        <v/>
      </c>
      <c r="S5" s="34">
        <f>IF(S3&gt;=Supuestos!$B$34,1,0)</f>
        <v/>
      </c>
      <c r="T5" s="34">
        <f>IF(T3&gt;=Supuestos!$B$34,1,0)</f>
        <v/>
      </c>
      <c r="U5" s="34">
        <f>IF(U3&gt;=Supuestos!$B$34,1,0)</f>
        <v/>
      </c>
      <c r="V5" s="34">
        <f>IF(V3&gt;=Supuestos!$B$34,1,0)</f>
        <v/>
      </c>
      <c r="W5" s="34">
        <f>IF(W3&gt;=Supuestos!$B$34,1,0)</f>
        <v/>
      </c>
      <c r="X5" s="34">
        <f>IF(X3&gt;=Supuestos!$B$34,1,0)</f>
        <v/>
      </c>
      <c r="Y5" s="34">
        <f>IF(Y3&gt;=Supuestos!$B$34,1,0)</f>
        <v/>
      </c>
      <c r="Z5" s="34">
        <f>IF(Z3&gt;=Supuestos!$B$34,1,0)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5" t="inlineStr">
        <is>
          <t>MÉDICOS</t>
        </is>
      </c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</row>
    <row r="8">
      <c r="A8" s="5" t="inlineStr">
        <is>
          <t>Médicos nuevos</t>
        </is>
      </c>
      <c r="B8" s="2" t="n"/>
      <c r="C8" s="37">
        <f>Supuestos!$B$44</f>
        <v/>
      </c>
      <c r="D8" s="37">
        <f>Supuestos!$B$44</f>
        <v/>
      </c>
      <c r="E8" s="37">
        <f>Supuestos!$B$44</f>
        <v/>
      </c>
      <c r="F8" s="37">
        <f>Supuestos!$B$44</f>
        <v/>
      </c>
      <c r="G8" s="37">
        <f>Supuestos!$B$44</f>
        <v/>
      </c>
      <c r="H8" s="37">
        <f>Supuestos!$B$44</f>
        <v/>
      </c>
      <c r="I8" s="37">
        <f>Supuestos!$B$44</f>
        <v/>
      </c>
      <c r="J8" s="37">
        <f>Supuestos!$B$44</f>
        <v/>
      </c>
      <c r="K8" s="37">
        <f>Supuestos!$B$44</f>
        <v/>
      </c>
      <c r="L8" s="37">
        <f>Supuestos!$B$44</f>
        <v/>
      </c>
      <c r="M8" s="37">
        <f>Supuestos!$B$44</f>
        <v/>
      </c>
      <c r="N8" s="37">
        <f>Supuestos!$B$44</f>
        <v/>
      </c>
      <c r="O8" s="37">
        <f>Supuestos!$B$44</f>
        <v/>
      </c>
      <c r="P8" s="37">
        <f>Supuestos!$B$44</f>
        <v/>
      </c>
      <c r="Q8" s="37">
        <f>Supuestos!$B$44</f>
        <v/>
      </c>
      <c r="R8" s="37">
        <f>Supuestos!$B$44</f>
        <v/>
      </c>
      <c r="S8" s="37">
        <f>Supuestos!$B$44</f>
        <v/>
      </c>
      <c r="T8" s="37">
        <f>Supuestos!$B$44</f>
        <v/>
      </c>
      <c r="U8" s="37">
        <f>Supuestos!$B$44</f>
        <v/>
      </c>
      <c r="V8" s="37">
        <f>Supuestos!$B$44</f>
        <v/>
      </c>
      <c r="W8" s="37">
        <f>Supuestos!$B$44</f>
        <v/>
      </c>
      <c r="X8" s="37">
        <f>Supuestos!$B$44</f>
        <v/>
      </c>
      <c r="Y8" s="37">
        <f>Supuestos!$B$44</f>
        <v/>
      </c>
      <c r="Z8" s="37">
        <f>Supuestos!$B$44</f>
        <v/>
      </c>
    </row>
    <row r="9">
      <c r="A9" s="5" t="inlineStr">
        <is>
          <t>Fundadores nuevos</t>
        </is>
      </c>
      <c r="B9" s="2" t="n"/>
      <c r="C9" s="38">
        <f>MIN(C8,Supuestos!$B$9)</f>
        <v/>
      </c>
      <c r="D9" s="38">
        <f>MIN(D8,Supuestos!$B$9-C10)</f>
        <v/>
      </c>
      <c r="E9" s="38">
        <f>MIN(E8,Supuestos!$B$9-D10)</f>
        <v/>
      </c>
      <c r="F9" s="38">
        <f>MIN(F8,Supuestos!$B$9-E10)</f>
        <v/>
      </c>
      <c r="G9" s="38">
        <f>MIN(G8,Supuestos!$B$9-F10)</f>
        <v/>
      </c>
      <c r="H9" s="38">
        <f>MIN(H8,Supuestos!$B$9-G10)</f>
        <v/>
      </c>
      <c r="I9" s="38">
        <f>MIN(I8,Supuestos!$B$9-H10)</f>
        <v/>
      </c>
      <c r="J9" s="38">
        <f>MIN(J8,Supuestos!$B$9-I10)</f>
        <v/>
      </c>
      <c r="K9" s="38">
        <f>MIN(K8,Supuestos!$B$9-J10)</f>
        <v/>
      </c>
      <c r="L9" s="38">
        <f>MIN(L8,Supuestos!$B$9-K10)</f>
        <v/>
      </c>
      <c r="M9" s="38">
        <f>MIN(M8,Supuestos!$B$9-L10)</f>
        <v/>
      </c>
      <c r="N9" s="38">
        <f>MIN(N8,Supuestos!$B$9-M10)</f>
        <v/>
      </c>
      <c r="O9" s="38">
        <f>MIN(O8,Supuestos!$B$9-N10)</f>
        <v/>
      </c>
      <c r="P9" s="38">
        <f>MIN(P8,Supuestos!$B$9-O10)</f>
        <v/>
      </c>
      <c r="Q9" s="38">
        <f>MIN(Q8,Supuestos!$B$9-P10)</f>
        <v/>
      </c>
      <c r="R9" s="38">
        <f>MIN(R8,Supuestos!$B$9-Q10)</f>
        <v/>
      </c>
      <c r="S9" s="38">
        <f>MIN(S8,Supuestos!$B$9-R10)</f>
        <v/>
      </c>
      <c r="T9" s="38">
        <f>MIN(T8,Supuestos!$B$9-S10)</f>
        <v/>
      </c>
      <c r="U9" s="38">
        <f>MIN(U8,Supuestos!$B$9-T10)</f>
        <v/>
      </c>
      <c r="V9" s="38">
        <f>MIN(V8,Supuestos!$B$9-U10)</f>
        <v/>
      </c>
      <c r="W9" s="38">
        <f>MIN(W8,Supuestos!$B$9-V10)</f>
        <v/>
      </c>
      <c r="X9" s="38">
        <f>MIN(X8,Supuestos!$B$9-W10)</f>
        <v/>
      </c>
      <c r="Y9" s="38">
        <f>MIN(Y8,Supuestos!$B$9-X10)</f>
        <v/>
      </c>
      <c r="Z9" s="38">
        <f>MIN(Z8,Supuestos!$B$9-Y10)</f>
        <v/>
      </c>
    </row>
    <row r="10">
      <c r="A10" s="5" t="inlineStr">
        <is>
          <t>Fundadores inscritos (acumulado)</t>
        </is>
      </c>
      <c r="B10" s="2" t="n"/>
      <c r="C10" s="38">
        <f>C9</f>
        <v/>
      </c>
      <c r="D10" s="38">
        <f>C10+D9</f>
        <v/>
      </c>
      <c r="E10" s="38">
        <f>D10+E9</f>
        <v/>
      </c>
      <c r="F10" s="38">
        <f>E10+F9</f>
        <v/>
      </c>
      <c r="G10" s="38">
        <f>F10+G9</f>
        <v/>
      </c>
      <c r="H10" s="38">
        <f>G10+H9</f>
        <v/>
      </c>
      <c r="I10" s="38">
        <f>H10+I9</f>
        <v/>
      </c>
      <c r="J10" s="38">
        <f>I10+J9</f>
        <v/>
      </c>
      <c r="K10" s="38">
        <f>J10+K9</f>
        <v/>
      </c>
      <c r="L10" s="38">
        <f>K10+L9</f>
        <v/>
      </c>
      <c r="M10" s="38">
        <f>L10+M9</f>
        <v/>
      </c>
      <c r="N10" s="38">
        <f>M10+N9</f>
        <v/>
      </c>
      <c r="O10" s="38">
        <f>N10+O9</f>
        <v/>
      </c>
      <c r="P10" s="38">
        <f>O10+P9</f>
        <v/>
      </c>
      <c r="Q10" s="38">
        <f>P10+Q9</f>
        <v/>
      </c>
      <c r="R10" s="38">
        <f>Q10+R9</f>
        <v/>
      </c>
      <c r="S10" s="38">
        <f>R10+S9</f>
        <v/>
      </c>
      <c r="T10" s="38">
        <f>S10+T9</f>
        <v/>
      </c>
      <c r="U10" s="38">
        <f>T10+U9</f>
        <v/>
      </c>
      <c r="V10" s="38">
        <f>U10+V9</f>
        <v/>
      </c>
      <c r="W10" s="38">
        <f>V10+W9</f>
        <v/>
      </c>
      <c r="X10" s="38">
        <f>W10+X9</f>
        <v/>
      </c>
      <c r="Y10" s="38">
        <f>X10+Y9</f>
        <v/>
      </c>
      <c r="Z10" s="38">
        <f>Y10+Z9</f>
        <v/>
      </c>
    </row>
    <row r="11">
      <c r="A11" s="5" t="inlineStr">
        <is>
          <t>Nuevos no fundadores</t>
        </is>
      </c>
      <c r="B11" s="2" t="n"/>
      <c r="C11" s="38">
        <f>C8-C9</f>
        <v/>
      </c>
      <c r="D11" s="38">
        <f>D8-D9</f>
        <v/>
      </c>
      <c r="E11" s="38">
        <f>E8-E9</f>
        <v/>
      </c>
      <c r="F11" s="38">
        <f>F8-F9</f>
        <v/>
      </c>
      <c r="G11" s="38">
        <f>G8-G9</f>
        <v/>
      </c>
      <c r="H11" s="38">
        <f>H8-H9</f>
        <v/>
      </c>
      <c r="I11" s="38">
        <f>I8-I9</f>
        <v/>
      </c>
      <c r="J11" s="38">
        <f>J8-J9</f>
        <v/>
      </c>
      <c r="K11" s="38">
        <f>K8-K9</f>
        <v/>
      </c>
      <c r="L11" s="38">
        <f>L8-L9</f>
        <v/>
      </c>
      <c r="M11" s="38">
        <f>M8-M9</f>
        <v/>
      </c>
      <c r="N11" s="38">
        <f>N8-N9</f>
        <v/>
      </c>
      <c r="O11" s="38">
        <f>O8-O9</f>
        <v/>
      </c>
      <c r="P11" s="38">
        <f>P8-P9</f>
        <v/>
      </c>
      <c r="Q11" s="38">
        <f>Q8-Q9</f>
        <v/>
      </c>
      <c r="R11" s="38">
        <f>R8-R9</f>
        <v/>
      </c>
      <c r="S11" s="38">
        <f>S8-S9</f>
        <v/>
      </c>
      <c r="T11" s="38">
        <f>T8-T9</f>
        <v/>
      </c>
      <c r="U11" s="38">
        <f>U8-U9</f>
        <v/>
      </c>
      <c r="V11" s="38">
        <f>V8-V9</f>
        <v/>
      </c>
      <c r="W11" s="38">
        <f>W8-W9</f>
        <v/>
      </c>
      <c r="X11" s="38">
        <f>X8-X9</f>
        <v/>
      </c>
      <c r="Y11" s="38">
        <f>Y8-Y9</f>
        <v/>
      </c>
      <c r="Z11" s="38">
        <f>Z8-Z9</f>
        <v/>
      </c>
    </row>
    <row r="12">
      <c r="A12" s="5" t="inlineStr">
        <is>
          <t>Nuevos que eligen Clínico</t>
        </is>
      </c>
      <c r="B12" s="2" t="n"/>
      <c r="C12" s="38">
        <f>C11*C5*Supuestos!$B$46</f>
        <v/>
      </c>
      <c r="D12" s="38">
        <f>D11*D5*Supuestos!$B$46</f>
        <v/>
      </c>
      <c r="E12" s="38">
        <f>E11*E5*Supuestos!$B$46</f>
        <v/>
      </c>
      <c r="F12" s="38">
        <f>F11*F5*Supuestos!$B$46</f>
        <v/>
      </c>
      <c r="G12" s="38">
        <f>G11*G5*Supuestos!$B$46</f>
        <v/>
      </c>
      <c r="H12" s="38">
        <f>H11*H5*Supuestos!$B$46</f>
        <v/>
      </c>
      <c r="I12" s="38">
        <f>I11*I5*Supuestos!$B$46</f>
        <v/>
      </c>
      <c r="J12" s="38">
        <f>J11*J5*Supuestos!$B$46</f>
        <v/>
      </c>
      <c r="K12" s="38">
        <f>K11*K5*Supuestos!$B$46</f>
        <v/>
      </c>
      <c r="L12" s="38">
        <f>L11*L5*Supuestos!$B$46</f>
        <v/>
      </c>
      <c r="M12" s="38">
        <f>M11*M5*Supuestos!$B$46</f>
        <v/>
      </c>
      <c r="N12" s="38">
        <f>N11*N5*Supuestos!$B$46</f>
        <v/>
      </c>
      <c r="O12" s="38">
        <f>O11*O5*Supuestos!$B$46</f>
        <v/>
      </c>
      <c r="P12" s="38">
        <f>P11*P5*Supuestos!$B$46</f>
        <v/>
      </c>
      <c r="Q12" s="38">
        <f>Q11*Q5*Supuestos!$B$46</f>
        <v/>
      </c>
      <c r="R12" s="38">
        <f>R11*R5*Supuestos!$B$46</f>
        <v/>
      </c>
      <c r="S12" s="38">
        <f>S11*S5*Supuestos!$B$46</f>
        <v/>
      </c>
      <c r="T12" s="38">
        <f>T11*T5*Supuestos!$B$46</f>
        <v/>
      </c>
      <c r="U12" s="38">
        <f>U11*U5*Supuestos!$B$46</f>
        <v/>
      </c>
      <c r="V12" s="38">
        <f>V11*V5*Supuestos!$B$46</f>
        <v/>
      </c>
      <c r="W12" s="38">
        <f>W11*W5*Supuestos!$B$46</f>
        <v/>
      </c>
      <c r="X12" s="38">
        <f>X11*X5*Supuestos!$B$46</f>
        <v/>
      </c>
      <c r="Y12" s="38">
        <f>Y11*Y5*Supuestos!$B$46</f>
        <v/>
      </c>
      <c r="Z12" s="38">
        <f>Z11*Z5*Supuestos!$B$46</f>
        <v/>
      </c>
    </row>
    <row r="13">
      <c r="A13" s="5" t="inlineStr">
        <is>
          <t>Nuevos que eligen Red</t>
        </is>
      </c>
      <c r="B13" s="2" t="n"/>
      <c r="C13" s="38">
        <f>C11-C12</f>
        <v/>
      </c>
      <c r="D13" s="38">
        <f>D11-D12</f>
        <v/>
      </c>
      <c r="E13" s="38">
        <f>E11-E12</f>
        <v/>
      </c>
      <c r="F13" s="38">
        <f>F11-F12</f>
        <v/>
      </c>
      <c r="G13" s="38">
        <f>G11-G12</f>
        <v/>
      </c>
      <c r="H13" s="38">
        <f>H11-H12</f>
        <v/>
      </c>
      <c r="I13" s="38">
        <f>I11-I12</f>
        <v/>
      </c>
      <c r="J13" s="38">
        <f>J11-J12</f>
        <v/>
      </c>
      <c r="K13" s="38">
        <f>K11-K12</f>
        <v/>
      </c>
      <c r="L13" s="38">
        <f>L11-L12</f>
        <v/>
      </c>
      <c r="M13" s="38">
        <f>M11-M12</f>
        <v/>
      </c>
      <c r="N13" s="38">
        <f>N11-N12</f>
        <v/>
      </c>
      <c r="O13" s="38">
        <f>O11-O12</f>
        <v/>
      </c>
      <c r="P13" s="38">
        <f>P11-P12</f>
        <v/>
      </c>
      <c r="Q13" s="38">
        <f>Q11-Q12</f>
        <v/>
      </c>
      <c r="R13" s="38">
        <f>R11-R12</f>
        <v/>
      </c>
      <c r="S13" s="38">
        <f>S11-S12</f>
        <v/>
      </c>
      <c r="T13" s="38">
        <f>T11-T12</f>
        <v/>
      </c>
      <c r="U13" s="38">
        <f>U11-U12</f>
        <v/>
      </c>
      <c r="V13" s="38">
        <f>V11-V12</f>
        <v/>
      </c>
      <c r="W13" s="38">
        <f>W11-W12</f>
        <v/>
      </c>
      <c r="X13" s="38">
        <f>X11-X12</f>
        <v/>
      </c>
      <c r="Y13" s="38">
        <f>Y11-Y12</f>
        <v/>
      </c>
      <c r="Z13" s="38">
        <f>Z11-Z12</f>
        <v/>
      </c>
    </row>
    <row r="14">
      <c r="A14" s="5" t="inlineStr">
        <is>
          <t>Fundadores activos</t>
        </is>
      </c>
      <c r="B14" s="2" t="n"/>
      <c r="C14" s="38">
        <f>C9</f>
        <v/>
      </c>
      <c r="D14" s="38">
        <f>C14*(1-Supuestos!$B$45)+D9</f>
        <v/>
      </c>
      <c r="E14" s="38">
        <f>D14*(1-Supuestos!$B$45)+E9</f>
        <v/>
      </c>
      <c r="F14" s="38">
        <f>E14*(1-Supuestos!$B$45)+F9</f>
        <v/>
      </c>
      <c r="G14" s="38">
        <f>F14*(1-Supuestos!$B$45)+G9</f>
        <v/>
      </c>
      <c r="H14" s="38">
        <f>G14*(1-Supuestos!$B$45)+H9</f>
        <v/>
      </c>
      <c r="I14" s="38">
        <f>H14*(1-Supuestos!$B$45)+I9</f>
        <v/>
      </c>
      <c r="J14" s="38">
        <f>I14*(1-Supuestos!$B$45)+J9</f>
        <v/>
      </c>
      <c r="K14" s="38">
        <f>J14*(1-Supuestos!$B$45)+K9</f>
        <v/>
      </c>
      <c r="L14" s="38">
        <f>K14*(1-Supuestos!$B$45)+L9</f>
        <v/>
      </c>
      <c r="M14" s="38">
        <f>L14*(1-Supuestos!$B$45)+M9</f>
        <v/>
      </c>
      <c r="N14" s="38">
        <f>M14*(1-Supuestos!$B$45)+N9</f>
        <v/>
      </c>
      <c r="O14" s="38">
        <f>N14*(1-Supuestos!$B$45)+O9</f>
        <v/>
      </c>
      <c r="P14" s="38">
        <f>O14*(1-Supuestos!$B$45)+P9</f>
        <v/>
      </c>
      <c r="Q14" s="38">
        <f>P14*(1-Supuestos!$B$45)+Q9</f>
        <v/>
      </c>
      <c r="R14" s="38">
        <f>Q14*(1-Supuestos!$B$45)+R9</f>
        <v/>
      </c>
      <c r="S14" s="38">
        <f>R14*(1-Supuestos!$B$45)+S9</f>
        <v/>
      </c>
      <c r="T14" s="38">
        <f>S14*(1-Supuestos!$B$45)+T9</f>
        <v/>
      </c>
      <c r="U14" s="38">
        <f>T14*(1-Supuestos!$B$45)+U9</f>
        <v/>
      </c>
      <c r="V14" s="38">
        <f>U14*(1-Supuestos!$B$45)+V9</f>
        <v/>
      </c>
      <c r="W14" s="38">
        <f>V14*(1-Supuestos!$B$45)+W9</f>
        <v/>
      </c>
      <c r="X14" s="38">
        <f>W14*(1-Supuestos!$B$45)+X9</f>
        <v/>
      </c>
      <c r="Y14" s="38">
        <f>X14*(1-Supuestos!$B$45)+Y9</f>
        <v/>
      </c>
      <c r="Z14" s="38">
        <f>Y14*(1-Supuestos!$B$45)+Z9</f>
        <v/>
      </c>
    </row>
    <row r="15">
      <c r="A15" s="5" t="inlineStr">
        <is>
          <t>Suben de Red a Clínico</t>
        </is>
      </c>
      <c r="B15" s="2" t="n"/>
      <c r="C15" s="38">
        <f>0</f>
        <v/>
      </c>
      <c r="D15" s="38">
        <f>C16*(1-Supuestos!$B$45)*D5*Supuestos!$B$47</f>
        <v/>
      </c>
      <c r="E15" s="38">
        <f>D16*(1-Supuestos!$B$45)*E5*Supuestos!$B$47</f>
        <v/>
      </c>
      <c r="F15" s="38">
        <f>E16*(1-Supuestos!$B$45)*F5*Supuestos!$B$47</f>
        <v/>
      </c>
      <c r="G15" s="38">
        <f>F16*(1-Supuestos!$B$45)*G5*Supuestos!$B$47</f>
        <v/>
      </c>
      <c r="H15" s="38">
        <f>G16*(1-Supuestos!$B$45)*H5*Supuestos!$B$47</f>
        <v/>
      </c>
      <c r="I15" s="38">
        <f>H16*(1-Supuestos!$B$45)*I5*Supuestos!$B$47</f>
        <v/>
      </c>
      <c r="J15" s="38">
        <f>I16*(1-Supuestos!$B$45)*J5*Supuestos!$B$47</f>
        <v/>
      </c>
      <c r="K15" s="38">
        <f>J16*(1-Supuestos!$B$45)*K5*Supuestos!$B$47</f>
        <v/>
      </c>
      <c r="L15" s="38">
        <f>K16*(1-Supuestos!$B$45)*L5*Supuestos!$B$47</f>
        <v/>
      </c>
      <c r="M15" s="38">
        <f>L16*(1-Supuestos!$B$45)*M5*Supuestos!$B$47</f>
        <v/>
      </c>
      <c r="N15" s="38">
        <f>M16*(1-Supuestos!$B$45)*N5*Supuestos!$B$47</f>
        <v/>
      </c>
      <c r="O15" s="38">
        <f>N16*(1-Supuestos!$B$45)*O5*Supuestos!$B$47</f>
        <v/>
      </c>
      <c r="P15" s="38">
        <f>O16*(1-Supuestos!$B$45)*P5*Supuestos!$B$47</f>
        <v/>
      </c>
      <c r="Q15" s="38">
        <f>P16*(1-Supuestos!$B$45)*Q5*Supuestos!$B$47</f>
        <v/>
      </c>
      <c r="R15" s="38">
        <f>Q16*(1-Supuestos!$B$45)*R5*Supuestos!$B$47</f>
        <v/>
      </c>
      <c r="S15" s="38">
        <f>R16*(1-Supuestos!$B$45)*S5*Supuestos!$B$47</f>
        <v/>
      </c>
      <c r="T15" s="38">
        <f>S16*(1-Supuestos!$B$45)*T5*Supuestos!$B$47</f>
        <v/>
      </c>
      <c r="U15" s="38">
        <f>T16*(1-Supuestos!$B$45)*U5*Supuestos!$B$47</f>
        <v/>
      </c>
      <c r="V15" s="38">
        <f>U16*(1-Supuestos!$B$45)*V5*Supuestos!$B$47</f>
        <v/>
      </c>
      <c r="W15" s="38">
        <f>V16*(1-Supuestos!$B$45)*W5*Supuestos!$B$47</f>
        <v/>
      </c>
      <c r="X15" s="38">
        <f>W16*(1-Supuestos!$B$45)*X5*Supuestos!$B$47</f>
        <v/>
      </c>
      <c r="Y15" s="38">
        <f>X16*(1-Supuestos!$B$45)*Y5*Supuestos!$B$47</f>
        <v/>
      </c>
      <c r="Z15" s="38">
        <f>Y16*(1-Supuestos!$B$45)*Z5*Supuestos!$B$47</f>
        <v/>
      </c>
    </row>
    <row r="16">
      <c r="A16" s="5" t="inlineStr">
        <is>
          <t>Red activos</t>
        </is>
      </c>
      <c r="B16" s="2" t="n"/>
      <c r="C16" s="38">
        <f>C13</f>
        <v/>
      </c>
      <c r="D16" s="38">
        <f>C16*(1-Supuestos!$B$45)-D15+D13</f>
        <v/>
      </c>
      <c r="E16" s="38">
        <f>D16*(1-Supuestos!$B$45)-E15+E13</f>
        <v/>
      </c>
      <c r="F16" s="38">
        <f>E16*(1-Supuestos!$B$45)-F15+F13</f>
        <v/>
      </c>
      <c r="G16" s="38">
        <f>F16*(1-Supuestos!$B$45)-G15+G13</f>
        <v/>
      </c>
      <c r="H16" s="38">
        <f>G16*(1-Supuestos!$B$45)-H15+H13</f>
        <v/>
      </c>
      <c r="I16" s="38">
        <f>H16*(1-Supuestos!$B$45)-I15+I13</f>
        <v/>
      </c>
      <c r="J16" s="38">
        <f>I16*(1-Supuestos!$B$45)-J15+J13</f>
        <v/>
      </c>
      <c r="K16" s="38">
        <f>J16*(1-Supuestos!$B$45)-K15+K13</f>
        <v/>
      </c>
      <c r="L16" s="38">
        <f>K16*(1-Supuestos!$B$45)-L15+L13</f>
        <v/>
      </c>
      <c r="M16" s="38">
        <f>L16*(1-Supuestos!$B$45)-M15+M13</f>
        <v/>
      </c>
      <c r="N16" s="38">
        <f>M16*(1-Supuestos!$B$45)-N15+N13</f>
        <v/>
      </c>
      <c r="O16" s="38">
        <f>N16*(1-Supuestos!$B$45)-O15+O13</f>
        <v/>
      </c>
      <c r="P16" s="38">
        <f>O16*(1-Supuestos!$B$45)-P15+P13</f>
        <v/>
      </c>
      <c r="Q16" s="38">
        <f>P16*(1-Supuestos!$B$45)-Q15+Q13</f>
        <v/>
      </c>
      <c r="R16" s="38">
        <f>Q16*(1-Supuestos!$B$45)-R15+R13</f>
        <v/>
      </c>
      <c r="S16" s="38">
        <f>R16*(1-Supuestos!$B$45)-S15+S13</f>
        <v/>
      </c>
      <c r="T16" s="38">
        <f>S16*(1-Supuestos!$B$45)-T15+T13</f>
        <v/>
      </c>
      <c r="U16" s="38">
        <f>T16*(1-Supuestos!$B$45)-U15+U13</f>
        <v/>
      </c>
      <c r="V16" s="38">
        <f>U16*(1-Supuestos!$B$45)-V15+V13</f>
        <v/>
      </c>
      <c r="W16" s="38">
        <f>V16*(1-Supuestos!$B$45)-W15+W13</f>
        <v/>
      </c>
      <c r="X16" s="38">
        <f>W16*(1-Supuestos!$B$45)-X15+X13</f>
        <v/>
      </c>
      <c r="Y16" s="38">
        <f>X16*(1-Supuestos!$B$45)-Y15+Y13</f>
        <v/>
      </c>
      <c r="Z16" s="38">
        <f>Y16*(1-Supuestos!$B$45)-Z15+Z13</f>
        <v/>
      </c>
    </row>
    <row r="17">
      <c r="A17" s="5" t="inlineStr">
        <is>
          <t>Clínico activos (precio completo)</t>
        </is>
      </c>
      <c r="B17" s="2" t="n"/>
      <c r="C17" s="38">
        <f>C12</f>
        <v/>
      </c>
      <c r="D17" s="38">
        <f>C17*(1-Supuestos!$B$45)+D12+D15</f>
        <v/>
      </c>
      <c r="E17" s="38">
        <f>D17*(1-Supuestos!$B$45)+E12+E15</f>
        <v/>
      </c>
      <c r="F17" s="38">
        <f>E17*(1-Supuestos!$B$45)+F12+F15</f>
        <v/>
      </c>
      <c r="G17" s="38">
        <f>F17*(1-Supuestos!$B$45)+G12+G15</f>
        <v/>
      </c>
      <c r="H17" s="38">
        <f>G17*(1-Supuestos!$B$45)+H12+H15</f>
        <v/>
      </c>
      <c r="I17" s="38">
        <f>H17*(1-Supuestos!$B$45)+I12+I15</f>
        <v/>
      </c>
      <c r="J17" s="38">
        <f>I17*(1-Supuestos!$B$45)+J12+J15</f>
        <v/>
      </c>
      <c r="K17" s="38">
        <f>J17*(1-Supuestos!$B$45)+K12+K15</f>
        <v/>
      </c>
      <c r="L17" s="38">
        <f>K17*(1-Supuestos!$B$45)+L12+L15</f>
        <v/>
      </c>
      <c r="M17" s="38">
        <f>L17*(1-Supuestos!$B$45)+M12+M15</f>
        <v/>
      </c>
      <c r="N17" s="38">
        <f>M17*(1-Supuestos!$B$45)+N12+N15</f>
        <v/>
      </c>
      <c r="O17" s="38">
        <f>N17*(1-Supuestos!$B$45)+O12+O15</f>
        <v/>
      </c>
      <c r="P17" s="38">
        <f>O17*(1-Supuestos!$B$45)+P12+P15</f>
        <v/>
      </c>
      <c r="Q17" s="38">
        <f>P17*(1-Supuestos!$B$45)+Q12+Q15</f>
        <v/>
      </c>
      <c r="R17" s="38">
        <f>Q17*(1-Supuestos!$B$45)+R12+R15</f>
        <v/>
      </c>
      <c r="S17" s="38">
        <f>R17*(1-Supuestos!$B$45)+S12+S15</f>
        <v/>
      </c>
      <c r="T17" s="38">
        <f>S17*(1-Supuestos!$B$45)+T12+T15</f>
        <v/>
      </c>
      <c r="U17" s="38">
        <f>T17*(1-Supuestos!$B$45)+U12+U15</f>
        <v/>
      </c>
      <c r="V17" s="38">
        <f>U17*(1-Supuestos!$B$45)+V12+V15</f>
        <v/>
      </c>
      <c r="W17" s="38">
        <f>V17*(1-Supuestos!$B$45)+W12+W15</f>
        <v/>
      </c>
      <c r="X17" s="38">
        <f>W17*(1-Supuestos!$B$45)+X12+X15</f>
        <v/>
      </c>
      <c r="Y17" s="38">
        <f>X17*(1-Supuestos!$B$45)+Y12+Y15</f>
        <v/>
      </c>
      <c r="Z17" s="38">
        <f>Y17*(1-Supuestos!$B$45)+Z12+Z15</f>
        <v/>
      </c>
    </row>
    <row r="18">
      <c r="A18" s="5" t="inlineStr">
        <is>
          <t>Total médicos activos</t>
        </is>
      </c>
      <c r="B18" s="2" t="n"/>
      <c r="C18" s="38">
        <f>C14+C16+C17</f>
        <v/>
      </c>
      <c r="D18" s="38">
        <f>D14+D16+D17</f>
        <v/>
      </c>
      <c r="E18" s="38">
        <f>E14+E16+E17</f>
        <v/>
      </c>
      <c r="F18" s="38">
        <f>F14+F16+F17</f>
        <v/>
      </c>
      <c r="G18" s="38">
        <f>G14+G16+G17</f>
        <v/>
      </c>
      <c r="H18" s="38">
        <f>H14+H16+H17</f>
        <v/>
      </c>
      <c r="I18" s="38">
        <f>I14+I16+I17</f>
        <v/>
      </c>
      <c r="J18" s="38">
        <f>J14+J16+J17</f>
        <v/>
      </c>
      <c r="K18" s="38">
        <f>K14+K16+K17</f>
        <v/>
      </c>
      <c r="L18" s="38">
        <f>L14+L16+L17</f>
        <v/>
      </c>
      <c r="M18" s="38">
        <f>M14+M16+M17</f>
        <v/>
      </c>
      <c r="N18" s="38">
        <f>N14+N16+N17</f>
        <v/>
      </c>
      <c r="O18" s="38">
        <f>O14+O16+O17</f>
        <v/>
      </c>
      <c r="P18" s="38">
        <f>P14+P16+P17</f>
        <v/>
      </c>
      <c r="Q18" s="38">
        <f>Q14+Q16+Q17</f>
        <v/>
      </c>
      <c r="R18" s="38">
        <f>R14+R16+R17</f>
        <v/>
      </c>
      <c r="S18" s="38">
        <f>S14+S16+S17</f>
        <v/>
      </c>
      <c r="T18" s="38">
        <f>T14+T16+T17</f>
        <v/>
      </c>
      <c r="U18" s="38">
        <f>U14+U16+U17</f>
        <v/>
      </c>
      <c r="V18" s="38">
        <f>V14+V16+V17</f>
        <v/>
      </c>
      <c r="W18" s="38">
        <f>W14+W16+W17</f>
        <v/>
      </c>
      <c r="X18" s="38">
        <f>X14+X16+X17</f>
        <v/>
      </c>
      <c r="Y18" s="38">
        <f>Y14+Y16+Y17</f>
        <v/>
      </c>
      <c r="Z18" s="38">
        <f>Z14+Z16+Z17</f>
        <v/>
      </c>
    </row>
    <row r="19">
      <c r="A19" s="5" t="inlineStr">
        <is>
          <t>Médicos usando el portal clínico</t>
        </is>
      </c>
      <c r="B19" s="2" t="n"/>
      <c r="C19" s="38">
        <f>C17+C14*C5</f>
        <v/>
      </c>
      <c r="D19" s="38">
        <f>D17+D14*D5</f>
        <v/>
      </c>
      <c r="E19" s="38">
        <f>E17+E14*E5</f>
        <v/>
      </c>
      <c r="F19" s="38">
        <f>F17+F14*F5</f>
        <v/>
      </c>
      <c r="G19" s="38">
        <f>G17+G14*G5</f>
        <v/>
      </c>
      <c r="H19" s="38">
        <f>H17+H14*H5</f>
        <v/>
      </c>
      <c r="I19" s="38">
        <f>I17+I14*I5</f>
        <v/>
      </c>
      <c r="J19" s="38">
        <f>J17+J14*J5</f>
        <v/>
      </c>
      <c r="K19" s="38">
        <f>K17+K14*K5</f>
        <v/>
      </c>
      <c r="L19" s="38">
        <f>L17+L14*L5</f>
        <v/>
      </c>
      <c r="M19" s="38">
        <f>M17+M14*M5</f>
        <v/>
      </c>
      <c r="N19" s="38">
        <f>N17+N14*N5</f>
        <v/>
      </c>
      <c r="O19" s="38">
        <f>O17+O14*O5</f>
        <v/>
      </c>
      <c r="P19" s="38">
        <f>P17+P14*P5</f>
        <v/>
      </c>
      <c r="Q19" s="38">
        <f>Q17+Q14*Q5</f>
        <v/>
      </c>
      <c r="R19" s="38">
        <f>R17+R14*R5</f>
        <v/>
      </c>
      <c r="S19" s="38">
        <f>S17+S14*S5</f>
        <v/>
      </c>
      <c r="T19" s="38">
        <f>T17+T14*T5</f>
        <v/>
      </c>
      <c r="U19" s="38">
        <f>U17+U14*U5</f>
        <v/>
      </c>
      <c r="V19" s="38">
        <f>V17+V14*V5</f>
        <v/>
      </c>
      <c r="W19" s="38">
        <f>W17+W14*W5</f>
        <v/>
      </c>
      <c r="X19" s="38">
        <f>X17+X14*X5</f>
        <v/>
      </c>
      <c r="Y19" s="38">
        <f>Y17+Y14*Y5</f>
        <v/>
      </c>
      <c r="Z19" s="38">
        <f>Z17+Z14*Z5</f>
        <v/>
      </c>
    </row>
    <row r="20">
      <c r="A20" s="5" t="inlineStr">
        <is>
          <t>Médicos usando solo Red</t>
        </is>
      </c>
      <c r="B20" s="2" t="n"/>
      <c r="C20" s="38">
        <f>C18-C19</f>
        <v/>
      </c>
      <c r="D20" s="38">
        <f>D18-D19</f>
        <v/>
      </c>
      <c r="E20" s="38">
        <f>E18-E19</f>
        <v/>
      </c>
      <c r="F20" s="38">
        <f>F18-F19</f>
        <v/>
      </c>
      <c r="G20" s="38">
        <f>G18-G19</f>
        <v/>
      </c>
      <c r="H20" s="38">
        <f>H18-H19</f>
        <v/>
      </c>
      <c r="I20" s="38">
        <f>I18-I19</f>
        <v/>
      </c>
      <c r="J20" s="38">
        <f>J18-J19</f>
        <v/>
      </c>
      <c r="K20" s="38">
        <f>K18-K19</f>
        <v/>
      </c>
      <c r="L20" s="38">
        <f>L18-L19</f>
        <v/>
      </c>
      <c r="M20" s="38">
        <f>M18-M19</f>
        <v/>
      </c>
      <c r="N20" s="38">
        <f>N18-N19</f>
        <v/>
      </c>
      <c r="O20" s="38">
        <f>O18-O19</f>
        <v/>
      </c>
      <c r="P20" s="38">
        <f>P18-P19</f>
        <v/>
      </c>
      <c r="Q20" s="38">
        <f>Q18-Q19</f>
        <v/>
      </c>
      <c r="R20" s="38">
        <f>R18-R19</f>
        <v/>
      </c>
      <c r="S20" s="38">
        <f>S18-S19</f>
        <v/>
      </c>
      <c r="T20" s="38">
        <f>T18-T19</f>
        <v/>
      </c>
      <c r="U20" s="38">
        <f>U18-U19</f>
        <v/>
      </c>
      <c r="V20" s="38">
        <f>V18-V19</f>
        <v/>
      </c>
      <c r="W20" s="38">
        <f>W18-W19</f>
        <v/>
      </c>
      <c r="X20" s="38">
        <f>X18-X19</f>
        <v/>
      </c>
      <c r="Y20" s="38">
        <f>Y18-Y19</f>
        <v/>
      </c>
      <c r="Z20" s="38">
        <f>Z18-Z19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35" t="inlineStr">
        <is>
          <t>INGRESOS</t>
        </is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>
      <c r="A23" s="5" t="inlineStr">
        <is>
          <t>Fundadores</t>
        </is>
      </c>
      <c r="B23" s="2" t="n"/>
      <c r="C23" s="12">
        <f>C14*IF(C5=1,Supuestos!$B$8,Supuestos!$B$7)/(1+Supuestos!$B$10)</f>
        <v/>
      </c>
      <c r="D23" s="12">
        <f>D14*IF(D5=1,Supuestos!$B$8,Supuestos!$B$7)/(1+Supuestos!$B$10)</f>
        <v/>
      </c>
      <c r="E23" s="12">
        <f>E14*IF(E5=1,Supuestos!$B$8,Supuestos!$B$7)/(1+Supuestos!$B$10)</f>
        <v/>
      </c>
      <c r="F23" s="12">
        <f>F14*IF(F5=1,Supuestos!$B$8,Supuestos!$B$7)/(1+Supuestos!$B$10)</f>
        <v/>
      </c>
      <c r="G23" s="12">
        <f>G14*IF(G5=1,Supuestos!$B$8,Supuestos!$B$7)/(1+Supuestos!$B$10)</f>
        <v/>
      </c>
      <c r="H23" s="12">
        <f>H14*IF(H5=1,Supuestos!$B$8,Supuestos!$B$7)/(1+Supuestos!$B$10)</f>
        <v/>
      </c>
      <c r="I23" s="12">
        <f>I14*IF(I5=1,Supuestos!$B$8,Supuestos!$B$7)/(1+Supuestos!$B$10)</f>
        <v/>
      </c>
      <c r="J23" s="12">
        <f>J14*IF(J5=1,Supuestos!$B$8,Supuestos!$B$7)/(1+Supuestos!$B$10)</f>
        <v/>
      </c>
      <c r="K23" s="12">
        <f>K14*IF(K5=1,Supuestos!$B$8,Supuestos!$B$7)/(1+Supuestos!$B$10)</f>
        <v/>
      </c>
      <c r="L23" s="12">
        <f>L14*IF(L5=1,Supuestos!$B$8,Supuestos!$B$7)/(1+Supuestos!$B$10)</f>
        <v/>
      </c>
      <c r="M23" s="12">
        <f>M14*IF(M5=1,Supuestos!$B$8,Supuestos!$B$7)/(1+Supuestos!$B$10)</f>
        <v/>
      </c>
      <c r="N23" s="12">
        <f>N14*IF(N5=1,Supuestos!$B$8,Supuestos!$B$7)/(1+Supuestos!$B$10)</f>
        <v/>
      </c>
      <c r="O23" s="12">
        <f>O14*IF(O5=1,Supuestos!$B$8,Supuestos!$B$7)/(1+Supuestos!$B$10)</f>
        <v/>
      </c>
      <c r="P23" s="12">
        <f>P14*IF(P5=1,Supuestos!$B$8,Supuestos!$B$7)/(1+Supuestos!$B$10)</f>
        <v/>
      </c>
      <c r="Q23" s="12">
        <f>Q14*IF(Q5=1,Supuestos!$B$8,Supuestos!$B$7)/(1+Supuestos!$B$10)</f>
        <v/>
      </c>
      <c r="R23" s="12">
        <f>R14*IF(R5=1,Supuestos!$B$8,Supuestos!$B$7)/(1+Supuestos!$B$10)</f>
        <v/>
      </c>
      <c r="S23" s="12">
        <f>S14*IF(S5=1,Supuestos!$B$8,Supuestos!$B$7)/(1+Supuestos!$B$10)</f>
        <v/>
      </c>
      <c r="T23" s="12">
        <f>T14*IF(T5=1,Supuestos!$B$8,Supuestos!$B$7)/(1+Supuestos!$B$10)</f>
        <v/>
      </c>
      <c r="U23" s="12">
        <f>U14*IF(U5=1,Supuestos!$B$8,Supuestos!$B$7)/(1+Supuestos!$B$10)</f>
        <v/>
      </c>
      <c r="V23" s="12">
        <f>V14*IF(V5=1,Supuestos!$B$8,Supuestos!$B$7)/(1+Supuestos!$B$10)</f>
        <v/>
      </c>
      <c r="W23" s="12">
        <f>W14*IF(W5=1,Supuestos!$B$8,Supuestos!$B$7)/(1+Supuestos!$B$10)</f>
        <v/>
      </c>
      <c r="X23" s="12">
        <f>X14*IF(X5=1,Supuestos!$B$8,Supuestos!$B$7)/(1+Supuestos!$B$10)</f>
        <v/>
      </c>
      <c r="Y23" s="12">
        <f>Y14*IF(Y5=1,Supuestos!$B$8,Supuestos!$B$7)/(1+Supuestos!$B$10)</f>
        <v/>
      </c>
      <c r="Z23" s="12">
        <f>Z14*IF(Z5=1,Supuestos!$B$8,Supuestos!$B$7)/(1+Supuestos!$B$10)</f>
        <v/>
      </c>
    </row>
    <row r="24">
      <c r="A24" s="5" t="inlineStr">
        <is>
          <t>Plan Red</t>
        </is>
      </c>
      <c r="B24" s="2" t="n"/>
      <c r="C24" s="12">
        <f>C16*Supuestos!$B$5/(1+Supuestos!$B$10)</f>
        <v/>
      </c>
      <c r="D24" s="12">
        <f>D16*Supuestos!$B$5/(1+Supuestos!$B$10)</f>
        <v/>
      </c>
      <c r="E24" s="12">
        <f>E16*Supuestos!$B$5/(1+Supuestos!$B$10)</f>
        <v/>
      </c>
      <c r="F24" s="12">
        <f>F16*Supuestos!$B$5/(1+Supuestos!$B$10)</f>
        <v/>
      </c>
      <c r="G24" s="12">
        <f>G16*Supuestos!$B$5/(1+Supuestos!$B$10)</f>
        <v/>
      </c>
      <c r="H24" s="12">
        <f>H16*Supuestos!$B$5/(1+Supuestos!$B$10)</f>
        <v/>
      </c>
      <c r="I24" s="12">
        <f>I16*Supuestos!$B$5/(1+Supuestos!$B$10)</f>
        <v/>
      </c>
      <c r="J24" s="12">
        <f>J16*Supuestos!$B$5/(1+Supuestos!$B$10)</f>
        <v/>
      </c>
      <c r="K24" s="12">
        <f>K16*Supuestos!$B$5/(1+Supuestos!$B$10)</f>
        <v/>
      </c>
      <c r="L24" s="12">
        <f>L16*Supuestos!$B$5/(1+Supuestos!$B$10)</f>
        <v/>
      </c>
      <c r="M24" s="12">
        <f>M16*Supuestos!$B$5/(1+Supuestos!$B$10)</f>
        <v/>
      </c>
      <c r="N24" s="12">
        <f>N16*Supuestos!$B$5/(1+Supuestos!$B$10)</f>
        <v/>
      </c>
      <c r="O24" s="12">
        <f>O16*Supuestos!$B$5/(1+Supuestos!$B$10)</f>
        <v/>
      </c>
      <c r="P24" s="12">
        <f>P16*Supuestos!$B$5/(1+Supuestos!$B$10)</f>
        <v/>
      </c>
      <c r="Q24" s="12">
        <f>Q16*Supuestos!$B$5/(1+Supuestos!$B$10)</f>
        <v/>
      </c>
      <c r="R24" s="12">
        <f>R16*Supuestos!$B$5/(1+Supuestos!$B$10)</f>
        <v/>
      </c>
      <c r="S24" s="12">
        <f>S16*Supuestos!$B$5/(1+Supuestos!$B$10)</f>
        <v/>
      </c>
      <c r="T24" s="12">
        <f>T16*Supuestos!$B$5/(1+Supuestos!$B$10)</f>
        <v/>
      </c>
      <c r="U24" s="12">
        <f>U16*Supuestos!$B$5/(1+Supuestos!$B$10)</f>
        <v/>
      </c>
      <c r="V24" s="12">
        <f>V16*Supuestos!$B$5/(1+Supuestos!$B$10)</f>
        <v/>
      </c>
      <c r="W24" s="12">
        <f>W16*Supuestos!$B$5/(1+Supuestos!$B$10)</f>
        <v/>
      </c>
      <c r="X24" s="12">
        <f>X16*Supuestos!$B$5/(1+Supuestos!$B$10)</f>
        <v/>
      </c>
      <c r="Y24" s="12">
        <f>Y16*Supuestos!$B$5/(1+Supuestos!$B$10)</f>
        <v/>
      </c>
      <c r="Z24" s="12">
        <f>Z16*Supuestos!$B$5/(1+Supuestos!$B$10)</f>
        <v/>
      </c>
    </row>
    <row r="25">
      <c r="A25" s="5" t="inlineStr">
        <is>
          <t>Plan Clínico</t>
        </is>
      </c>
      <c r="B25" s="2" t="n"/>
      <c r="C25" s="12">
        <f>C17*Supuestos!$B$6/(1+Supuestos!$B$10)</f>
        <v/>
      </c>
      <c r="D25" s="12">
        <f>D17*Supuestos!$B$6/(1+Supuestos!$B$10)</f>
        <v/>
      </c>
      <c r="E25" s="12">
        <f>E17*Supuestos!$B$6/(1+Supuestos!$B$10)</f>
        <v/>
      </c>
      <c r="F25" s="12">
        <f>F17*Supuestos!$B$6/(1+Supuestos!$B$10)</f>
        <v/>
      </c>
      <c r="G25" s="12">
        <f>G17*Supuestos!$B$6/(1+Supuestos!$B$10)</f>
        <v/>
      </c>
      <c r="H25" s="12">
        <f>H17*Supuestos!$B$6/(1+Supuestos!$B$10)</f>
        <v/>
      </c>
      <c r="I25" s="12">
        <f>I17*Supuestos!$B$6/(1+Supuestos!$B$10)</f>
        <v/>
      </c>
      <c r="J25" s="12">
        <f>J17*Supuestos!$B$6/(1+Supuestos!$B$10)</f>
        <v/>
      </c>
      <c r="K25" s="12">
        <f>K17*Supuestos!$B$6/(1+Supuestos!$B$10)</f>
        <v/>
      </c>
      <c r="L25" s="12">
        <f>L17*Supuestos!$B$6/(1+Supuestos!$B$10)</f>
        <v/>
      </c>
      <c r="M25" s="12">
        <f>M17*Supuestos!$B$6/(1+Supuestos!$B$10)</f>
        <v/>
      </c>
      <c r="N25" s="12">
        <f>N17*Supuestos!$B$6/(1+Supuestos!$B$10)</f>
        <v/>
      </c>
      <c r="O25" s="12">
        <f>O17*Supuestos!$B$6/(1+Supuestos!$B$10)</f>
        <v/>
      </c>
      <c r="P25" s="12">
        <f>P17*Supuestos!$B$6/(1+Supuestos!$B$10)</f>
        <v/>
      </c>
      <c r="Q25" s="12">
        <f>Q17*Supuestos!$B$6/(1+Supuestos!$B$10)</f>
        <v/>
      </c>
      <c r="R25" s="12">
        <f>R17*Supuestos!$B$6/(1+Supuestos!$B$10)</f>
        <v/>
      </c>
      <c r="S25" s="12">
        <f>S17*Supuestos!$B$6/(1+Supuestos!$B$10)</f>
        <v/>
      </c>
      <c r="T25" s="12">
        <f>T17*Supuestos!$B$6/(1+Supuestos!$B$10)</f>
        <v/>
      </c>
      <c r="U25" s="12">
        <f>U17*Supuestos!$B$6/(1+Supuestos!$B$10)</f>
        <v/>
      </c>
      <c r="V25" s="12">
        <f>V17*Supuestos!$B$6/(1+Supuestos!$B$10)</f>
        <v/>
      </c>
      <c r="W25" s="12">
        <f>W17*Supuestos!$B$6/(1+Supuestos!$B$10)</f>
        <v/>
      </c>
      <c r="X25" s="12">
        <f>X17*Supuestos!$B$6/(1+Supuestos!$B$10)</f>
        <v/>
      </c>
      <c r="Y25" s="12">
        <f>Y17*Supuestos!$B$6/(1+Supuestos!$B$10)</f>
        <v/>
      </c>
      <c r="Z25" s="12">
        <f>Z17*Supuestos!$B$6/(1+Supuestos!$B$10)</f>
        <v/>
      </c>
    </row>
    <row r="26">
      <c r="A26" s="39" t="inlineStr">
        <is>
          <t>Ingreso recurrente mensual (MRR)</t>
        </is>
      </c>
      <c r="B26" s="40" t="n"/>
      <c r="C26" s="41">
        <f>C23+C24+C25</f>
        <v/>
      </c>
      <c r="D26" s="41">
        <f>D23+D24+D25</f>
        <v/>
      </c>
      <c r="E26" s="41">
        <f>E23+E24+E25</f>
        <v/>
      </c>
      <c r="F26" s="41">
        <f>F23+F24+F25</f>
        <v/>
      </c>
      <c r="G26" s="41">
        <f>G23+G24+G25</f>
        <v/>
      </c>
      <c r="H26" s="41">
        <f>H23+H24+H25</f>
        <v/>
      </c>
      <c r="I26" s="41">
        <f>I23+I24+I25</f>
        <v/>
      </c>
      <c r="J26" s="41">
        <f>J23+J24+J25</f>
        <v/>
      </c>
      <c r="K26" s="41">
        <f>K23+K24+K25</f>
        <v/>
      </c>
      <c r="L26" s="41">
        <f>L23+L24+L25</f>
        <v/>
      </c>
      <c r="M26" s="41">
        <f>M23+M24+M25</f>
        <v/>
      </c>
      <c r="N26" s="41">
        <f>N23+N24+N25</f>
        <v/>
      </c>
      <c r="O26" s="41">
        <f>O23+O24+O25</f>
        <v/>
      </c>
      <c r="P26" s="41">
        <f>P23+P24+P25</f>
        <v/>
      </c>
      <c r="Q26" s="41">
        <f>Q23+Q24+Q25</f>
        <v/>
      </c>
      <c r="R26" s="41">
        <f>R23+R24+R25</f>
        <v/>
      </c>
      <c r="S26" s="41">
        <f>S23+S24+S25</f>
        <v/>
      </c>
      <c r="T26" s="41">
        <f>T23+T24+T25</f>
        <v/>
      </c>
      <c r="U26" s="41">
        <f>U23+U24+U25</f>
        <v/>
      </c>
      <c r="V26" s="41">
        <f>V23+V24+V25</f>
        <v/>
      </c>
      <c r="W26" s="41">
        <f>W23+W24+W25</f>
        <v/>
      </c>
      <c r="X26" s="41">
        <f>X23+X24+X25</f>
        <v/>
      </c>
      <c r="Y26" s="41">
        <f>Y23+Y24+Y25</f>
        <v/>
      </c>
      <c r="Z26" s="41">
        <f>Z23+Z24+Z25</f>
        <v/>
      </c>
    </row>
    <row r="27">
      <c r="A27" s="5" t="inlineStr">
        <is>
          <t>Migraciones vendidas</t>
        </is>
      </c>
      <c r="B27" s="2" t="n"/>
      <c r="C27" s="38">
        <f>(C12+C15)*Supuestos!$B$48</f>
        <v/>
      </c>
      <c r="D27" s="38">
        <f>(D12+D15)*Supuestos!$B$48</f>
        <v/>
      </c>
      <c r="E27" s="38">
        <f>(E12+E15)*Supuestos!$B$48</f>
        <v/>
      </c>
      <c r="F27" s="38">
        <f>(F12+F15)*Supuestos!$B$48</f>
        <v/>
      </c>
      <c r="G27" s="38">
        <f>(G12+G15)*Supuestos!$B$48</f>
        <v/>
      </c>
      <c r="H27" s="38">
        <f>(H12+H15)*Supuestos!$B$48</f>
        <v/>
      </c>
      <c r="I27" s="38">
        <f>(I12+I15)*Supuestos!$B$48</f>
        <v/>
      </c>
      <c r="J27" s="38">
        <f>(J12+J15)*Supuestos!$B$48</f>
        <v/>
      </c>
      <c r="K27" s="38">
        <f>(K12+K15)*Supuestos!$B$48</f>
        <v/>
      </c>
      <c r="L27" s="38">
        <f>(L12+L15)*Supuestos!$B$48</f>
        <v/>
      </c>
      <c r="M27" s="38">
        <f>(M12+M15)*Supuestos!$B$48</f>
        <v/>
      </c>
      <c r="N27" s="38">
        <f>(N12+N15)*Supuestos!$B$48</f>
        <v/>
      </c>
      <c r="O27" s="38">
        <f>(O12+O15)*Supuestos!$B$48</f>
        <v/>
      </c>
      <c r="P27" s="38">
        <f>(P12+P15)*Supuestos!$B$48</f>
        <v/>
      </c>
      <c r="Q27" s="38">
        <f>(Q12+Q15)*Supuestos!$B$48</f>
        <v/>
      </c>
      <c r="R27" s="38">
        <f>(R12+R15)*Supuestos!$B$48</f>
        <v/>
      </c>
      <c r="S27" s="38">
        <f>(S12+S15)*Supuestos!$B$48</f>
        <v/>
      </c>
      <c r="T27" s="38">
        <f>(T12+T15)*Supuestos!$B$48</f>
        <v/>
      </c>
      <c r="U27" s="38">
        <f>(U12+U15)*Supuestos!$B$48</f>
        <v/>
      </c>
      <c r="V27" s="38">
        <f>(V12+V15)*Supuestos!$B$48</f>
        <v/>
      </c>
      <c r="W27" s="38">
        <f>(W12+W15)*Supuestos!$B$48</f>
        <v/>
      </c>
      <c r="X27" s="38">
        <f>(X12+X15)*Supuestos!$B$48</f>
        <v/>
      </c>
      <c r="Y27" s="38">
        <f>(Y12+Y15)*Supuestos!$B$48</f>
        <v/>
      </c>
      <c r="Z27" s="38">
        <f>(Z12+Z15)*Supuestos!$B$48</f>
        <v/>
      </c>
    </row>
    <row r="28">
      <c r="A28" s="5" t="inlineStr">
        <is>
          <t>Ingreso por migraciones</t>
        </is>
      </c>
      <c r="B28" s="2" t="n"/>
      <c r="C28" s="12">
        <f>C27*Supuestos!$B$37*Supuestos!$B$11/(1+Supuestos!$B$10)</f>
        <v/>
      </c>
      <c r="D28" s="12">
        <f>D27*Supuestos!$B$37*Supuestos!$B$11/(1+Supuestos!$B$10)</f>
        <v/>
      </c>
      <c r="E28" s="12">
        <f>E27*Supuestos!$B$37*Supuestos!$B$11/(1+Supuestos!$B$10)</f>
        <v/>
      </c>
      <c r="F28" s="12">
        <f>F27*Supuestos!$B$37*Supuestos!$B$11/(1+Supuestos!$B$10)</f>
        <v/>
      </c>
      <c r="G28" s="12">
        <f>G27*Supuestos!$B$37*Supuestos!$B$11/(1+Supuestos!$B$10)</f>
        <v/>
      </c>
      <c r="H28" s="12">
        <f>H27*Supuestos!$B$37*Supuestos!$B$11/(1+Supuestos!$B$10)</f>
        <v/>
      </c>
      <c r="I28" s="12">
        <f>I27*Supuestos!$B$37*Supuestos!$B$11/(1+Supuestos!$B$10)</f>
        <v/>
      </c>
      <c r="J28" s="12">
        <f>J27*Supuestos!$B$37*Supuestos!$B$11/(1+Supuestos!$B$10)</f>
        <v/>
      </c>
      <c r="K28" s="12">
        <f>K27*Supuestos!$B$37*Supuestos!$B$11/(1+Supuestos!$B$10)</f>
        <v/>
      </c>
      <c r="L28" s="12">
        <f>L27*Supuestos!$B$37*Supuestos!$B$11/(1+Supuestos!$B$10)</f>
        <v/>
      </c>
      <c r="M28" s="12">
        <f>M27*Supuestos!$B$37*Supuestos!$B$11/(1+Supuestos!$B$10)</f>
        <v/>
      </c>
      <c r="N28" s="12">
        <f>N27*Supuestos!$B$37*Supuestos!$B$11/(1+Supuestos!$B$10)</f>
        <v/>
      </c>
      <c r="O28" s="12">
        <f>O27*Supuestos!$B$37*Supuestos!$B$11/(1+Supuestos!$B$10)</f>
        <v/>
      </c>
      <c r="P28" s="12">
        <f>P27*Supuestos!$B$37*Supuestos!$B$11/(1+Supuestos!$B$10)</f>
        <v/>
      </c>
      <c r="Q28" s="12">
        <f>Q27*Supuestos!$B$37*Supuestos!$B$11/(1+Supuestos!$B$10)</f>
        <v/>
      </c>
      <c r="R28" s="12">
        <f>R27*Supuestos!$B$37*Supuestos!$B$11/(1+Supuestos!$B$10)</f>
        <v/>
      </c>
      <c r="S28" s="12">
        <f>S27*Supuestos!$B$37*Supuestos!$B$11/(1+Supuestos!$B$10)</f>
        <v/>
      </c>
      <c r="T28" s="12">
        <f>T27*Supuestos!$B$37*Supuestos!$B$11/(1+Supuestos!$B$10)</f>
        <v/>
      </c>
      <c r="U28" s="12">
        <f>U27*Supuestos!$B$37*Supuestos!$B$11/(1+Supuestos!$B$10)</f>
        <v/>
      </c>
      <c r="V28" s="12">
        <f>V27*Supuestos!$B$37*Supuestos!$B$11/(1+Supuestos!$B$10)</f>
        <v/>
      </c>
      <c r="W28" s="12">
        <f>W27*Supuestos!$B$37*Supuestos!$B$11/(1+Supuestos!$B$10)</f>
        <v/>
      </c>
      <c r="X28" s="12">
        <f>X27*Supuestos!$B$37*Supuestos!$B$11/(1+Supuestos!$B$10)</f>
        <v/>
      </c>
      <c r="Y28" s="12">
        <f>Y27*Supuestos!$B$37*Supuestos!$B$11/(1+Supuestos!$B$10)</f>
        <v/>
      </c>
      <c r="Z28" s="12">
        <f>Z27*Supuestos!$B$37*Supuestos!$B$11/(1+Supuestos!$B$10)</f>
        <v/>
      </c>
    </row>
    <row r="29">
      <c r="A29" s="39" t="inlineStr">
        <is>
          <t>INGRESO TOTAL</t>
        </is>
      </c>
      <c r="B29" s="40" t="n"/>
      <c r="C29" s="41">
        <f>C26+C28</f>
        <v/>
      </c>
      <c r="D29" s="41">
        <f>D26+D28</f>
        <v/>
      </c>
      <c r="E29" s="41">
        <f>E26+E28</f>
        <v/>
      </c>
      <c r="F29" s="41">
        <f>F26+F28</f>
        <v/>
      </c>
      <c r="G29" s="41">
        <f>G26+G28</f>
        <v/>
      </c>
      <c r="H29" s="41">
        <f>H26+H28</f>
        <v/>
      </c>
      <c r="I29" s="41">
        <f>I26+I28</f>
        <v/>
      </c>
      <c r="J29" s="41">
        <f>J26+J28</f>
        <v/>
      </c>
      <c r="K29" s="41">
        <f>K26+K28</f>
        <v/>
      </c>
      <c r="L29" s="41">
        <f>L26+L28</f>
        <v/>
      </c>
      <c r="M29" s="41">
        <f>M26+M28</f>
        <v/>
      </c>
      <c r="N29" s="41">
        <f>N26+N28</f>
        <v/>
      </c>
      <c r="O29" s="41">
        <f>O26+O28</f>
        <v/>
      </c>
      <c r="P29" s="41">
        <f>P26+P28</f>
        <v/>
      </c>
      <c r="Q29" s="41">
        <f>Q26+Q28</f>
        <v/>
      </c>
      <c r="R29" s="41">
        <f>R26+R28</f>
        <v/>
      </c>
      <c r="S29" s="41">
        <f>S26+S28</f>
        <v/>
      </c>
      <c r="T29" s="41">
        <f>T26+T28</f>
        <v/>
      </c>
      <c r="U29" s="41">
        <f>U26+U28</f>
        <v/>
      </c>
      <c r="V29" s="41">
        <f>V26+V28</f>
        <v/>
      </c>
      <c r="W29" s="41">
        <f>W26+W28</f>
        <v/>
      </c>
      <c r="X29" s="41">
        <f>X26+X28</f>
        <v/>
      </c>
      <c r="Y29" s="41">
        <f>Y26+Y28</f>
        <v/>
      </c>
      <c r="Z29" s="41">
        <f>Z26+Z28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35" t="inlineStr">
        <is>
          <t>COSTOS VARIABLES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>
      <c r="A32" s="5" t="inlineStr">
        <is>
          <t>IA (NOVA) + almacenamiento</t>
        </is>
      </c>
      <c r="B32" s="2" t="n"/>
      <c r="C32" s="12">
        <f>(C20*Supuestos!$B$17+C19*(Supuestos!$B$18+Supuestos!$B$19))*Supuestos!$B$14</f>
        <v/>
      </c>
      <c r="D32" s="12">
        <f>(D20*Supuestos!$B$17+D19*(Supuestos!$B$18+Supuestos!$B$19))*Supuestos!$B$14</f>
        <v/>
      </c>
      <c r="E32" s="12">
        <f>(E20*Supuestos!$B$17+E19*(Supuestos!$B$18+Supuestos!$B$19))*Supuestos!$B$14</f>
        <v/>
      </c>
      <c r="F32" s="12">
        <f>(F20*Supuestos!$B$17+F19*(Supuestos!$B$18+Supuestos!$B$19))*Supuestos!$B$14</f>
        <v/>
      </c>
      <c r="G32" s="12">
        <f>(G20*Supuestos!$B$17+G19*(Supuestos!$B$18+Supuestos!$B$19))*Supuestos!$B$14</f>
        <v/>
      </c>
      <c r="H32" s="12">
        <f>(H20*Supuestos!$B$17+H19*(Supuestos!$B$18+Supuestos!$B$19))*Supuestos!$B$14</f>
        <v/>
      </c>
      <c r="I32" s="12">
        <f>(I20*Supuestos!$B$17+I19*(Supuestos!$B$18+Supuestos!$B$19))*Supuestos!$B$14</f>
        <v/>
      </c>
      <c r="J32" s="12">
        <f>(J20*Supuestos!$B$17+J19*(Supuestos!$B$18+Supuestos!$B$19))*Supuestos!$B$14</f>
        <v/>
      </c>
      <c r="K32" s="12">
        <f>(K20*Supuestos!$B$17+K19*(Supuestos!$B$18+Supuestos!$B$19))*Supuestos!$B$14</f>
        <v/>
      </c>
      <c r="L32" s="12">
        <f>(L20*Supuestos!$B$17+L19*(Supuestos!$B$18+Supuestos!$B$19))*Supuestos!$B$14</f>
        <v/>
      </c>
      <c r="M32" s="12">
        <f>(M20*Supuestos!$B$17+M19*(Supuestos!$B$18+Supuestos!$B$19))*Supuestos!$B$14</f>
        <v/>
      </c>
      <c r="N32" s="12">
        <f>(N20*Supuestos!$B$17+N19*(Supuestos!$B$18+Supuestos!$B$19))*Supuestos!$B$14</f>
        <v/>
      </c>
      <c r="O32" s="12">
        <f>(O20*Supuestos!$B$17+O19*(Supuestos!$B$18+Supuestos!$B$19))*Supuestos!$B$14</f>
        <v/>
      </c>
      <c r="P32" s="12">
        <f>(P20*Supuestos!$B$17+P19*(Supuestos!$B$18+Supuestos!$B$19))*Supuestos!$B$14</f>
        <v/>
      </c>
      <c r="Q32" s="12">
        <f>(Q20*Supuestos!$B$17+Q19*(Supuestos!$B$18+Supuestos!$B$19))*Supuestos!$B$14</f>
        <v/>
      </c>
      <c r="R32" s="12">
        <f>(R20*Supuestos!$B$17+R19*(Supuestos!$B$18+Supuestos!$B$19))*Supuestos!$B$14</f>
        <v/>
      </c>
      <c r="S32" s="12">
        <f>(S20*Supuestos!$B$17+S19*(Supuestos!$B$18+Supuestos!$B$19))*Supuestos!$B$14</f>
        <v/>
      </c>
      <c r="T32" s="12">
        <f>(T20*Supuestos!$B$17+T19*(Supuestos!$B$18+Supuestos!$B$19))*Supuestos!$B$14</f>
        <v/>
      </c>
      <c r="U32" s="12">
        <f>(U20*Supuestos!$B$17+U19*(Supuestos!$B$18+Supuestos!$B$19))*Supuestos!$B$14</f>
        <v/>
      </c>
      <c r="V32" s="12">
        <f>(V20*Supuestos!$B$17+V19*(Supuestos!$B$18+Supuestos!$B$19))*Supuestos!$B$14</f>
        <v/>
      </c>
      <c r="W32" s="12">
        <f>(W20*Supuestos!$B$17+W19*(Supuestos!$B$18+Supuestos!$B$19))*Supuestos!$B$14</f>
        <v/>
      </c>
      <c r="X32" s="12">
        <f>(X20*Supuestos!$B$17+X19*(Supuestos!$B$18+Supuestos!$B$19))*Supuestos!$B$14</f>
        <v/>
      </c>
      <c r="Y32" s="12">
        <f>(Y20*Supuestos!$B$17+Y19*(Supuestos!$B$18+Supuestos!$B$19))*Supuestos!$B$14</f>
        <v/>
      </c>
      <c r="Z32" s="12">
        <f>(Z20*Supuestos!$B$17+Z19*(Supuestos!$B$18+Supuestos!$B$19))*Supuestos!$B$14</f>
        <v/>
      </c>
    </row>
    <row r="33">
      <c r="A33" s="5" t="inlineStr">
        <is>
          <t>Comisión de cobro (con IVA de la comisión)</t>
        </is>
      </c>
      <c r="B33" s="2" t="n"/>
      <c r="C33" s="12">
        <f>((C18+C27)*Supuestos!$B$23+C29*(1+Supuestos!$B$10)*Supuestos!$B$22)*(1+Supuestos!$B$10)</f>
        <v/>
      </c>
      <c r="D33" s="12">
        <f>((D18+D27)*Supuestos!$B$23+D29*(1+Supuestos!$B$10)*Supuestos!$B$22)*(1+Supuestos!$B$10)</f>
        <v/>
      </c>
      <c r="E33" s="12">
        <f>((E18+E27)*Supuestos!$B$23+E29*(1+Supuestos!$B$10)*Supuestos!$B$22)*(1+Supuestos!$B$10)</f>
        <v/>
      </c>
      <c r="F33" s="12">
        <f>((F18+F27)*Supuestos!$B$23+F29*(1+Supuestos!$B$10)*Supuestos!$B$22)*(1+Supuestos!$B$10)</f>
        <v/>
      </c>
      <c r="G33" s="12">
        <f>((G18+G27)*Supuestos!$B$23+G29*(1+Supuestos!$B$10)*Supuestos!$B$22)*(1+Supuestos!$B$10)</f>
        <v/>
      </c>
      <c r="H33" s="12">
        <f>((H18+H27)*Supuestos!$B$23+H29*(1+Supuestos!$B$10)*Supuestos!$B$22)*(1+Supuestos!$B$10)</f>
        <v/>
      </c>
      <c r="I33" s="12">
        <f>((I18+I27)*Supuestos!$B$23+I29*(1+Supuestos!$B$10)*Supuestos!$B$22)*(1+Supuestos!$B$10)</f>
        <v/>
      </c>
      <c r="J33" s="12">
        <f>((J18+J27)*Supuestos!$B$23+J29*(1+Supuestos!$B$10)*Supuestos!$B$22)*(1+Supuestos!$B$10)</f>
        <v/>
      </c>
      <c r="K33" s="12">
        <f>((K18+K27)*Supuestos!$B$23+K29*(1+Supuestos!$B$10)*Supuestos!$B$22)*(1+Supuestos!$B$10)</f>
        <v/>
      </c>
      <c r="L33" s="12">
        <f>((L18+L27)*Supuestos!$B$23+L29*(1+Supuestos!$B$10)*Supuestos!$B$22)*(1+Supuestos!$B$10)</f>
        <v/>
      </c>
      <c r="M33" s="12">
        <f>((M18+M27)*Supuestos!$B$23+M29*(1+Supuestos!$B$10)*Supuestos!$B$22)*(1+Supuestos!$B$10)</f>
        <v/>
      </c>
      <c r="N33" s="12">
        <f>((N18+N27)*Supuestos!$B$23+N29*(1+Supuestos!$B$10)*Supuestos!$B$22)*(1+Supuestos!$B$10)</f>
        <v/>
      </c>
      <c r="O33" s="12">
        <f>((O18+O27)*Supuestos!$B$23+O29*(1+Supuestos!$B$10)*Supuestos!$B$22)*(1+Supuestos!$B$10)</f>
        <v/>
      </c>
      <c r="P33" s="12">
        <f>((P18+P27)*Supuestos!$B$23+P29*(1+Supuestos!$B$10)*Supuestos!$B$22)*(1+Supuestos!$B$10)</f>
        <v/>
      </c>
      <c r="Q33" s="12">
        <f>((Q18+Q27)*Supuestos!$B$23+Q29*(1+Supuestos!$B$10)*Supuestos!$B$22)*(1+Supuestos!$B$10)</f>
        <v/>
      </c>
      <c r="R33" s="12">
        <f>((R18+R27)*Supuestos!$B$23+R29*(1+Supuestos!$B$10)*Supuestos!$B$22)*(1+Supuestos!$B$10)</f>
        <v/>
      </c>
      <c r="S33" s="12">
        <f>((S18+S27)*Supuestos!$B$23+S29*(1+Supuestos!$B$10)*Supuestos!$B$22)*(1+Supuestos!$B$10)</f>
        <v/>
      </c>
      <c r="T33" s="12">
        <f>((T18+T27)*Supuestos!$B$23+T29*(1+Supuestos!$B$10)*Supuestos!$B$22)*(1+Supuestos!$B$10)</f>
        <v/>
      </c>
      <c r="U33" s="12">
        <f>((U18+U27)*Supuestos!$B$23+U29*(1+Supuestos!$B$10)*Supuestos!$B$22)*(1+Supuestos!$B$10)</f>
        <v/>
      </c>
      <c r="V33" s="12">
        <f>((V18+V27)*Supuestos!$B$23+V29*(1+Supuestos!$B$10)*Supuestos!$B$22)*(1+Supuestos!$B$10)</f>
        <v/>
      </c>
      <c r="W33" s="12">
        <f>((W18+W27)*Supuestos!$B$23+W29*(1+Supuestos!$B$10)*Supuestos!$B$22)*(1+Supuestos!$B$10)</f>
        <v/>
      </c>
      <c r="X33" s="12">
        <f>((X18+X27)*Supuestos!$B$23+X29*(1+Supuestos!$B$10)*Supuestos!$B$22)*(1+Supuestos!$B$10)</f>
        <v/>
      </c>
      <c r="Y33" s="12">
        <f>((Y18+Y27)*Supuestos!$B$23+Y29*(1+Supuestos!$B$10)*Supuestos!$B$22)*(1+Supuestos!$B$10)</f>
        <v/>
      </c>
      <c r="Z33" s="12">
        <f>((Z18+Z27)*Supuestos!$B$23+Z29*(1+Supuestos!$B$10)*Supuestos!$B$22)*(1+Supuestos!$B$10)</f>
        <v/>
      </c>
    </row>
    <row r="34">
      <c r="A34" s="5" t="inlineStr">
        <is>
          <t>Facturas CFDI</t>
        </is>
      </c>
      <c r="B34" s="2" t="n"/>
      <c r="C34" s="12">
        <f>(C18+C27)*Supuestos!$B$24</f>
        <v/>
      </c>
      <c r="D34" s="12">
        <f>(D18+D27)*Supuestos!$B$24</f>
        <v/>
      </c>
      <c r="E34" s="12">
        <f>(E18+E27)*Supuestos!$B$24</f>
        <v/>
      </c>
      <c r="F34" s="12">
        <f>(F18+F27)*Supuestos!$B$24</f>
        <v/>
      </c>
      <c r="G34" s="12">
        <f>(G18+G27)*Supuestos!$B$24</f>
        <v/>
      </c>
      <c r="H34" s="12">
        <f>(H18+H27)*Supuestos!$B$24</f>
        <v/>
      </c>
      <c r="I34" s="12">
        <f>(I18+I27)*Supuestos!$B$24</f>
        <v/>
      </c>
      <c r="J34" s="12">
        <f>(J18+J27)*Supuestos!$B$24</f>
        <v/>
      </c>
      <c r="K34" s="12">
        <f>(K18+K27)*Supuestos!$B$24</f>
        <v/>
      </c>
      <c r="L34" s="12">
        <f>(L18+L27)*Supuestos!$B$24</f>
        <v/>
      </c>
      <c r="M34" s="12">
        <f>(M18+M27)*Supuestos!$B$24</f>
        <v/>
      </c>
      <c r="N34" s="12">
        <f>(N18+N27)*Supuestos!$B$24</f>
        <v/>
      </c>
      <c r="O34" s="12">
        <f>(O18+O27)*Supuestos!$B$24</f>
        <v/>
      </c>
      <c r="P34" s="12">
        <f>(P18+P27)*Supuestos!$B$24</f>
        <v/>
      </c>
      <c r="Q34" s="12">
        <f>(Q18+Q27)*Supuestos!$B$24</f>
        <v/>
      </c>
      <c r="R34" s="12">
        <f>(R18+R27)*Supuestos!$B$24</f>
        <v/>
      </c>
      <c r="S34" s="12">
        <f>(S18+S27)*Supuestos!$B$24</f>
        <v/>
      </c>
      <c r="T34" s="12">
        <f>(T18+T27)*Supuestos!$B$24</f>
        <v/>
      </c>
      <c r="U34" s="12">
        <f>(U18+U27)*Supuestos!$B$24</f>
        <v/>
      </c>
      <c r="V34" s="12">
        <f>(V18+V27)*Supuestos!$B$24</f>
        <v/>
      </c>
      <c r="W34" s="12">
        <f>(W18+W27)*Supuestos!$B$24</f>
        <v/>
      </c>
      <c r="X34" s="12">
        <f>(X18+X27)*Supuestos!$B$24</f>
        <v/>
      </c>
      <c r="Y34" s="12">
        <f>(Y18+Y27)*Supuestos!$B$24</f>
        <v/>
      </c>
      <c r="Z34" s="12">
        <f>(Z18+Z27)*Supuestos!$B$24</f>
        <v/>
      </c>
    </row>
    <row r="35">
      <c r="A35" s="5" t="inlineStr">
        <is>
          <t>Soporte</t>
        </is>
      </c>
      <c r="B35" s="2" t="n"/>
      <c r="C35" s="12">
        <f>C18*Supuestos!$B$28*Supuestos!$B$29</f>
        <v/>
      </c>
      <c r="D35" s="12">
        <f>D18*Supuestos!$B$28*Supuestos!$B$29</f>
        <v/>
      </c>
      <c r="E35" s="12">
        <f>E18*Supuestos!$B$28*Supuestos!$B$29</f>
        <v/>
      </c>
      <c r="F35" s="12">
        <f>F18*Supuestos!$B$28*Supuestos!$B$29</f>
        <v/>
      </c>
      <c r="G35" s="12">
        <f>G18*Supuestos!$B$28*Supuestos!$B$29</f>
        <v/>
      </c>
      <c r="H35" s="12">
        <f>H18*Supuestos!$B$28*Supuestos!$B$29</f>
        <v/>
      </c>
      <c r="I35" s="12">
        <f>I18*Supuestos!$B$28*Supuestos!$B$29</f>
        <v/>
      </c>
      <c r="J35" s="12">
        <f>J18*Supuestos!$B$28*Supuestos!$B$29</f>
        <v/>
      </c>
      <c r="K35" s="12">
        <f>K18*Supuestos!$B$28*Supuestos!$B$29</f>
        <v/>
      </c>
      <c r="L35" s="12">
        <f>L18*Supuestos!$B$28*Supuestos!$B$29</f>
        <v/>
      </c>
      <c r="M35" s="12">
        <f>M18*Supuestos!$B$28*Supuestos!$B$29</f>
        <v/>
      </c>
      <c r="N35" s="12">
        <f>N18*Supuestos!$B$28*Supuestos!$B$29</f>
        <v/>
      </c>
      <c r="O35" s="12">
        <f>O18*Supuestos!$B$28*Supuestos!$B$29</f>
        <v/>
      </c>
      <c r="P35" s="12">
        <f>P18*Supuestos!$B$28*Supuestos!$B$29</f>
        <v/>
      </c>
      <c r="Q35" s="12">
        <f>Q18*Supuestos!$B$28*Supuestos!$B$29</f>
        <v/>
      </c>
      <c r="R35" s="12">
        <f>R18*Supuestos!$B$28*Supuestos!$B$29</f>
        <v/>
      </c>
      <c r="S35" s="12">
        <f>S18*Supuestos!$B$28*Supuestos!$B$29</f>
        <v/>
      </c>
      <c r="T35" s="12">
        <f>T18*Supuestos!$B$28*Supuestos!$B$29</f>
        <v/>
      </c>
      <c r="U35" s="12">
        <f>U18*Supuestos!$B$28*Supuestos!$B$29</f>
        <v/>
      </c>
      <c r="V35" s="12">
        <f>V18*Supuestos!$B$28*Supuestos!$B$29</f>
        <v/>
      </c>
      <c r="W35" s="12">
        <f>W18*Supuestos!$B$28*Supuestos!$B$29</f>
        <v/>
      </c>
      <c r="X35" s="12">
        <f>X18*Supuestos!$B$28*Supuestos!$B$29</f>
        <v/>
      </c>
      <c r="Y35" s="12">
        <f>Y18*Supuestos!$B$28*Supuestos!$B$29</f>
        <v/>
      </c>
      <c r="Z35" s="12">
        <f>Z18*Supuestos!$B$28*Supuestos!$B$29</f>
        <v/>
      </c>
    </row>
    <row r="36">
      <c r="A36" s="5" t="inlineStr">
        <is>
          <t>Producción de migraciones</t>
        </is>
      </c>
      <c r="B36" s="2" t="n"/>
      <c r="C36" s="12">
        <f>C27*Supuestos!$B$37*Supuestos!$B$38*(Supuestos!$B$39*Supuestos!$B$14+Supuestos!$B$40/60*Supuestos!$B$41)</f>
        <v/>
      </c>
      <c r="D36" s="12">
        <f>D27*Supuestos!$B$37*Supuestos!$B$38*(Supuestos!$B$39*Supuestos!$B$14+Supuestos!$B$40/60*Supuestos!$B$41)</f>
        <v/>
      </c>
      <c r="E36" s="12">
        <f>E27*Supuestos!$B$37*Supuestos!$B$38*(Supuestos!$B$39*Supuestos!$B$14+Supuestos!$B$40/60*Supuestos!$B$41)</f>
        <v/>
      </c>
      <c r="F36" s="12">
        <f>F27*Supuestos!$B$37*Supuestos!$B$38*(Supuestos!$B$39*Supuestos!$B$14+Supuestos!$B$40/60*Supuestos!$B$41)</f>
        <v/>
      </c>
      <c r="G36" s="12">
        <f>G27*Supuestos!$B$37*Supuestos!$B$38*(Supuestos!$B$39*Supuestos!$B$14+Supuestos!$B$40/60*Supuestos!$B$41)</f>
        <v/>
      </c>
      <c r="H36" s="12">
        <f>H27*Supuestos!$B$37*Supuestos!$B$38*(Supuestos!$B$39*Supuestos!$B$14+Supuestos!$B$40/60*Supuestos!$B$41)</f>
        <v/>
      </c>
      <c r="I36" s="12">
        <f>I27*Supuestos!$B$37*Supuestos!$B$38*(Supuestos!$B$39*Supuestos!$B$14+Supuestos!$B$40/60*Supuestos!$B$41)</f>
        <v/>
      </c>
      <c r="J36" s="12">
        <f>J27*Supuestos!$B$37*Supuestos!$B$38*(Supuestos!$B$39*Supuestos!$B$14+Supuestos!$B$40/60*Supuestos!$B$41)</f>
        <v/>
      </c>
      <c r="K36" s="12">
        <f>K27*Supuestos!$B$37*Supuestos!$B$38*(Supuestos!$B$39*Supuestos!$B$14+Supuestos!$B$40/60*Supuestos!$B$41)</f>
        <v/>
      </c>
      <c r="L36" s="12">
        <f>L27*Supuestos!$B$37*Supuestos!$B$38*(Supuestos!$B$39*Supuestos!$B$14+Supuestos!$B$40/60*Supuestos!$B$41)</f>
        <v/>
      </c>
      <c r="M36" s="12">
        <f>M27*Supuestos!$B$37*Supuestos!$B$38*(Supuestos!$B$39*Supuestos!$B$14+Supuestos!$B$40/60*Supuestos!$B$41)</f>
        <v/>
      </c>
      <c r="N36" s="12">
        <f>N27*Supuestos!$B$37*Supuestos!$B$38*(Supuestos!$B$39*Supuestos!$B$14+Supuestos!$B$40/60*Supuestos!$B$41)</f>
        <v/>
      </c>
      <c r="O36" s="12">
        <f>O27*Supuestos!$B$37*Supuestos!$B$38*(Supuestos!$B$39*Supuestos!$B$14+Supuestos!$B$40/60*Supuestos!$B$41)</f>
        <v/>
      </c>
      <c r="P36" s="12">
        <f>P27*Supuestos!$B$37*Supuestos!$B$38*(Supuestos!$B$39*Supuestos!$B$14+Supuestos!$B$40/60*Supuestos!$B$41)</f>
        <v/>
      </c>
      <c r="Q36" s="12">
        <f>Q27*Supuestos!$B$37*Supuestos!$B$38*(Supuestos!$B$39*Supuestos!$B$14+Supuestos!$B$40/60*Supuestos!$B$41)</f>
        <v/>
      </c>
      <c r="R36" s="12">
        <f>R27*Supuestos!$B$37*Supuestos!$B$38*(Supuestos!$B$39*Supuestos!$B$14+Supuestos!$B$40/60*Supuestos!$B$41)</f>
        <v/>
      </c>
      <c r="S36" s="12">
        <f>S27*Supuestos!$B$37*Supuestos!$B$38*(Supuestos!$B$39*Supuestos!$B$14+Supuestos!$B$40/60*Supuestos!$B$41)</f>
        <v/>
      </c>
      <c r="T36" s="12">
        <f>T27*Supuestos!$B$37*Supuestos!$B$38*(Supuestos!$B$39*Supuestos!$B$14+Supuestos!$B$40/60*Supuestos!$B$41)</f>
        <v/>
      </c>
      <c r="U36" s="12">
        <f>U27*Supuestos!$B$37*Supuestos!$B$38*(Supuestos!$B$39*Supuestos!$B$14+Supuestos!$B$40/60*Supuestos!$B$41)</f>
        <v/>
      </c>
      <c r="V36" s="12">
        <f>V27*Supuestos!$B$37*Supuestos!$B$38*(Supuestos!$B$39*Supuestos!$B$14+Supuestos!$B$40/60*Supuestos!$B$41)</f>
        <v/>
      </c>
      <c r="W36" s="12">
        <f>W27*Supuestos!$B$37*Supuestos!$B$38*(Supuestos!$B$39*Supuestos!$B$14+Supuestos!$B$40/60*Supuestos!$B$41)</f>
        <v/>
      </c>
      <c r="X36" s="12">
        <f>X27*Supuestos!$B$37*Supuestos!$B$38*(Supuestos!$B$39*Supuestos!$B$14+Supuestos!$B$40/60*Supuestos!$B$41)</f>
        <v/>
      </c>
      <c r="Y36" s="12">
        <f>Y27*Supuestos!$B$37*Supuestos!$B$38*(Supuestos!$B$39*Supuestos!$B$14+Supuestos!$B$40/60*Supuestos!$B$41)</f>
        <v/>
      </c>
      <c r="Z36" s="12">
        <f>Z27*Supuestos!$B$37*Supuestos!$B$38*(Supuestos!$B$39*Supuestos!$B$14+Supuestos!$B$40/60*Supuestos!$B$41)</f>
        <v/>
      </c>
    </row>
    <row r="37">
      <c r="A37" s="5" t="inlineStr">
        <is>
          <t>Total costos variables</t>
        </is>
      </c>
      <c r="B37" s="2" t="n"/>
      <c r="C37" s="12">
        <f>SUM(C32:C36)</f>
        <v/>
      </c>
      <c r="D37" s="12">
        <f>SUM(D32:D36)</f>
        <v/>
      </c>
      <c r="E37" s="12">
        <f>SUM(E32:E36)</f>
        <v/>
      </c>
      <c r="F37" s="12">
        <f>SUM(F32:F36)</f>
        <v/>
      </c>
      <c r="G37" s="12">
        <f>SUM(G32:G36)</f>
        <v/>
      </c>
      <c r="H37" s="12">
        <f>SUM(H32:H36)</f>
        <v/>
      </c>
      <c r="I37" s="12">
        <f>SUM(I32:I36)</f>
        <v/>
      </c>
      <c r="J37" s="12">
        <f>SUM(J32:J36)</f>
        <v/>
      </c>
      <c r="K37" s="12">
        <f>SUM(K32:K36)</f>
        <v/>
      </c>
      <c r="L37" s="12">
        <f>SUM(L32:L36)</f>
        <v/>
      </c>
      <c r="M37" s="12">
        <f>SUM(M32:M36)</f>
        <v/>
      </c>
      <c r="N37" s="12">
        <f>SUM(N32:N36)</f>
        <v/>
      </c>
      <c r="O37" s="12">
        <f>SUM(O32:O36)</f>
        <v/>
      </c>
      <c r="P37" s="12">
        <f>SUM(P32:P36)</f>
        <v/>
      </c>
      <c r="Q37" s="12">
        <f>SUM(Q32:Q36)</f>
        <v/>
      </c>
      <c r="R37" s="12">
        <f>SUM(R32:R36)</f>
        <v/>
      </c>
      <c r="S37" s="12">
        <f>SUM(S32:S36)</f>
        <v/>
      </c>
      <c r="T37" s="12">
        <f>SUM(T32:T36)</f>
        <v/>
      </c>
      <c r="U37" s="12">
        <f>SUM(U32:U36)</f>
        <v/>
      </c>
      <c r="V37" s="12">
        <f>SUM(V32:V36)</f>
        <v/>
      </c>
      <c r="W37" s="12">
        <f>SUM(W32:W36)</f>
        <v/>
      </c>
      <c r="X37" s="12">
        <f>SUM(X32:X36)</f>
        <v/>
      </c>
      <c r="Y37" s="12">
        <f>SUM(Y32:Y36)</f>
        <v/>
      </c>
      <c r="Z37" s="12">
        <f>SUM(Z32:Z36)</f>
        <v/>
      </c>
    </row>
    <row r="38">
      <c r="A38" s="39" t="inlineStr">
        <is>
          <t>MARGEN DE CONTRIBUCIÓN</t>
        </is>
      </c>
      <c r="B38" s="40" t="n"/>
      <c r="C38" s="41">
        <f>C29-C37</f>
        <v/>
      </c>
      <c r="D38" s="41">
        <f>D29-D37</f>
        <v/>
      </c>
      <c r="E38" s="41">
        <f>E29-E37</f>
        <v/>
      </c>
      <c r="F38" s="41">
        <f>F29-F37</f>
        <v/>
      </c>
      <c r="G38" s="41">
        <f>G29-G37</f>
        <v/>
      </c>
      <c r="H38" s="41">
        <f>H29-H37</f>
        <v/>
      </c>
      <c r="I38" s="41">
        <f>I29-I37</f>
        <v/>
      </c>
      <c r="J38" s="41">
        <f>J29-J37</f>
        <v/>
      </c>
      <c r="K38" s="41">
        <f>K29-K37</f>
        <v/>
      </c>
      <c r="L38" s="41">
        <f>L29-L37</f>
        <v/>
      </c>
      <c r="M38" s="41">
        <f>M29-M37</f>
        <v/>
      </c>
      <c r="N38" s="41">
        <f>N29-N37</f>
        <v/>
      </c>
      <c r="O38" s="41">
        <f>O29-O37</f>
        <v/>
      </c>
      <c r="P38" s="41">
        <f>P29-P37</f>
        <v/>
      </c>
      <c r="Q38" s="41">
        <f>Q29-Q37</f>
        <v/>
      </c>
      <c r="R38" s="41">
        <f>R29-R37</f>
        <v/>
      </c>
      <c r="S38" s="41">
        <f>S29-S37</f>
        <v/>
      </c>
      <c r="T38" s="41">
        <f>T29-T37</f>
        <v/>
      </c>
      <c r="U38" s="41">
        <f>U29-U37</f>
        <v/>
      </c>
      <c r="V38" s="41">
        <f>V29-V37</f>
        <v/>
      </c>
      <c r="W38" s="41">
        <f>W29-W37</f>
        <v/>
      </c>
      <c r="X38" s="41">
        <f>X29-X37</f>
        <v/>
      </c>
      <c r="Y38" s="41">
        <f>Y29-Y37</f>
        <v/>
      </c>
      <c r="Z38" s="41">
        <f>Z29-Z37</f>
        <v/>
      </c>
    </row>
    <row r="39">
      <c r="A39" s="5" t="inlineStr">
        <is>
          <t>Margen de contribución %</t>
        </is>
      </c>
      <c r="B39" s="2" t="n"/>
      <c r="C39" s="42">
        <f>IF(C29=0,0,C38/C29)</f>
        <v/>
      </c>
      <c r="D39" s="42">
        <f>IF(D29=0,0,D38/D29)</f>
        <v/>
      </c>
      <c r="E39" s="42">
        <f>IF(E29=0,0,E38/E29)</f>
        <v/>
      </c>
      <c r="F39" s="42">
        <f>IF(F29=0,0,F38/F29)</f>
        <v/>
      </c>
      <c r="G39" s="42">
        <f>IF(G29=0,0,G38/G29)</f>
        <v/>
      </c>
      <c r="H39" s="42">
        <f>IF(H29=0,0,H38/H29)</f>
        <v/>
      </c>
      <c r="I39" s="42">
        <f>IF(I29=0,0,I38/I29)</f>
        <v/>
      </c>
      <c r="J39" s="42">
        <f>IF(J29=0,0,J38/J29)</f>
        <v/>
      </c>
      <c r="K39" s="42">
        <f>IF(K29=0,0,K38/K29)</f>
        <v/>
      </c>
      <c r="L39" s="42">
        <f>IF(L29=0,0,L38/L29)</f>
        <v/>
      </c>
      <c r="M39" s="42">
        <f>IF(M29=0,0,M38/M29)</f>
        <v/>
      </c>
      <c r="N39" s="42">
        <f>IF(N29=0,0,N38/N29)</f>
        <v/>
      </c>
      <c r="O39" s="42">
        <f>IF(O29=0,0,O38/O29)</f>
        <v/>
      </c>
      <c r="P39" s="42">
        <f>IF(P29=0,0,P38/P29)</f>
        <v/>
      </c>
      <c r="Q39" s="42">
        <f>IF(Q29=0,0,Q38/Q29)</f>
        <v/>
      </c>
      <c r="R39" s="42">
        <f>IF(R29=0,0,R38/R29)</f>
        <v/>
      </c>
      <c r="S39" s="42">
        <f>IF(S29=0,0,S38/S29)</f>
        <v/>
      </c>
      <c r="T39" s="42">
        <f>IF(T29=0,0,T38/T29)</f>
        <v/>
      </c>
      <c r="U39" s="42">
        <f>IF(U29=0,0,U38/U29)</f>
        <v/>
      </c>
      <c r="V39" s="42">
        <f>IF(V29=0,0,V38/V29)</f>
        <v/>
      </c>
      <c r="W39" s="42">
        <f>IF(W29=0,0,W38/W29)</f>
        <v/>
      </c>
      <c r="X39" s="42">
        <f>IF(X29=0,0,X38/X29)</f>
        <v/>
      </c>
      <c r="Y39" s="42">
        <f>IF(Y29=0,0,Y38/Y29)</f>
        <v/>
      </c>
      <c r="Z39" s="42">
        <f>IF(Z29=0,0,Z38/Z29)</f>
        <v/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35" t="inlineStr">
        <is>
          <t>COSTOS FIJOS Y DE CRECIMIENTO</t>
        </is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>
      <c r="A42" s="5" t="inlineStr">
        <is>
          <t>Infraestructura</t>
        </is>
      </c>
      <c r="B42" s="2" t="n"/>
      <c r="C42" s="12">
        <f>(Supuestos!$B$15+Supuestos!$B$16*C5)*Supuestos!$B$14</f>
        <v/>
      </c>
      <c r="D42" s="12">
        <f>(Supuestos!$B$15+Supuestos!$B$16*D5)*Supuestos!$B$14</f>
        <v/>
      </c>
      <c r="E42" s="12">
        <f>(Supuestos!$B$15+Supuestos!$B$16*E5)*Supuestos!$B$14</f>
        <v/>
      </c>
      <c r="F42" s="12">
        <f>(Supuestos!$B$15+Supuestos!$B$16*F5)*Supuestos!$B$14</f>
        <v/>
      </c>
      <c r="G42" s="12">
        <f>(Supuestos!$B$15+Supuestos!$B$16*G5)*Supuestos!$B$14</f>
        <v/>
      </c>
      <c r="H42" s="12">
        <f>(Supuestos!$B$15+Supuestos!$B$16*H5)*Supuestos!$B$14</f>
        <v/>
      </c>
      <c r="I42" s="12">
        <f>(Supuestos!$B$15+Supuestos!$B$16*I5)*Supuestos!$B$14</f>
        <v/>
      </c>
      <c r="J42" s="12">
        <f>(Supuestos!$B$15+Supuestos!$B$16*J5)*Supuestos!$B$14</f>
        <v/>
      </c>
      <c r="K42" s="12">
        <f>(Supuestos!$B$15+Supuestos!$B$16*K5)*Supuestos!$B$14</f>
        <v/>
      </c>
      <c r="L42" s="12">
        <f>(Supuestos!$B$15+Supuestos!$B$16*L5)*Supuestos!$B$14</f>
        <v/>
      </c>
      <c r="M42" s="12">
        <f>(Supuestos!$B$15+Supuestos!$B$16*M5)*Supuestos!$B$14</f>
        <v/>
      </c>
      <c r="N42" s="12">
        <f>(Supuestos!$B$15+Supuestos!$B$16*N5)*Supuestos!$B$14</f>
        <v/>
      </c>
      <c r="O42" s="12">
        <f>(Supuestos!$B$15+Supuestos!$B$16*O5)*Supuestos!$B$14</f>
        <v/>
      </c>
      <c r="P42" s="12">
        <f>(Supuestos!$B$15+Supuestos!$B$16*P5)*Supuestos!$B$14</f>
        <v/>
      </c>
      <c r="Q42" s="12">
        <f>(Supuestos!$B$15+Supuestos!$B$16*Q5)*Supuestos!$B$14</f>
        <v/>
      </c>
      <c r="R42" s="12">
        <f>(Supuestos!$B$15+Supuestos!$B$16*R5)*Supuestos!$B$14</f>
        <v/>
      </c>
      <c r="S42" s="12">
        <f>(Supuestos!$B$15+Supuestos!$B$16*S5)*Supuestos!$B$14</f>
        <v/>
      </c>
      <c r="T42" s="12">
        <f>(Supuestos!$B$15+Supuestos!$B$16*T5)*Supuestos!$B$14</f>
        <v/>
      </c>
      <c r="U42" s="12">
        <f>(Supuestos!$B$15+Supuestos!$B$16*U5)*Supuestos!$B$14</f>
        <v/>
      </c>
      <c r="V42" s="12">
        <f>(Supuestos!$B$15+Supuestos!$B$16*V5)*Supuestos!$B$14</f>
        <v/>
      </c>
      <c r="W42" s="12">
        <f>(Supuestos!$B$15+Supuestos!$B$16*W5)*Supuestos!$B$14</f>
        <v/>
      </c>
      <c r="X42" s="12">
        <f>(Supuestos!$B$15+Supuestos!$B$16*X5)*Supuestos!$B$14</f>
        <v/>
      </c>
      <c r="Y42" s="12">
        <f>(Supuestos!$B$15+Supuestos!$B$16*Y5)*Supuestos!$B$14</f>
        <v/>
      </c>
      <c r="Z42" s="12">
        <f>(Supuestos!$B$15+Supuestos!$B$16*Z5)*Supuestos!$B$14</f>
        <v/>
      </c>
    </row>
    <row r="43">
      <c r="A43" s="5" t="inlineStr">
        <is>
          <t>Contador</t>
        </is>
      </c>
      <c r="B43" s="2" t="n"/>
      <c r="C43" s="8">
        <f>Supuestos!$B$27</f>
        <v/>
      </c>
      <c r="D43" s="8">
        <f>Supuestos!$B$27</f>
        <v/>
      </c>
      <c r="E43" s="8">
        <f>Supuestos!$B$27</f>
        <v/>
      </c>
      <c r="F43" s="8">
        <f>Supuestos!$B$27</f>
        <v/>
      </c>
      <c r="G43" s="8">
        <f>Supuestos!$B$27</f>
        <v/>
      </c>
      <c r="H43" s="8">
        <f>Supuestos!$B$27</f>
        <v/>
      </c>
      <c r="I43" s="8">
        <f>Supuestos!$B$27</f>
        <v/>
      </c>
      <c r="J43" s="8">
        <f>Supuestos!$B$27</f>
        <v/>
      </c>
      <c r="K43" s="8">
        <f>Supuestos!$B$27</f>
        <v/>
      </c>
      <c r="L43" s="8">
        <f>Supuestos!$B$27</f>
        <v/>
      </c>
      <c r="M43" s="8">
        <f>Supuestos!$B$27</f>
        <v/>
      </c>
      <c r="N43" s="8">
        <f>Supuestos!$B$27</f>
        <v/>
      </c>
      <c r="O43" s="8">
        <f>Supuestos!$B$27</f>
        <v/>
      </c>
      <c r="P43" s="8">
        <f>Supuestos!$B$27</f>
        <v/>
      </c>
      <c r="Q43" s="8">
        <f>Supuestos!$B$27</f>
        <v/>
      </c>
      <c r="R43" s="8">
        <f>Supuestos!$B$27</f>
        <v/>
      </c>
      <c r="S43" s="8">
        <f>Supuestos!$B$27</f>
        <v/>
      </c>
      <c r="T43" s="8">
        <f>Supuestos!$B$27</f>
        <v/>
      </c>
      <c r="U43" s="8">
        <f>Supuestos!$B$27</f>
        <v/>
      </c>
      <c r="V43" s="8">
        <f>Supuestos!$B$27</f>
        <v/>
      </c>
      <c r="W43" s="8">
        <f>Supuestos!$B$27</f>
        <v/>
      </c>
      <c r="X43" s="8">
        <f>Supuestos!$B$27</f>
        <v/>
      </c>
      <c r="Y43" s="8">
        <f>Supuestos!$B$27</f>
        <v/>
      </c>
      <c r="Z43" s="8">
        <f>Supuestos!$B$27</f>
        <v/>
      </c>
    </row>
    <row r="44">
      <c r="A44" s="5" t="inlineStr">
        <is>
          <t>Adquisición de médicos</t>
        </is>
      </c>
      <c r="B44" s="2" t="n"/>
      <c r="C44" s="12">
        <f>C8*Supuestos!$B$30</f>
        <v/>
      </c>
      <c r="D44" s="12">
        <f>D8*Supuestos!$B$30</f>
        <v/>
      </c>
      <c r="E44" s="12">
        <f>E8*Supuestos!$B$30</f>
        <v/>
      </c>
      <c r="F44" s="12">
        <f>F8*Supuestos!$B$30</f>
        <v/>
      </c>
      <c r="G44" s="12">
        <f>G8*Supuestos!$B$30</f>
        <v/>
      </c>
      <c r="H44" s="12">
        <f>H8*Supuestos!$B$30</f>
        <v/>
      </c>
      <c r="I44" s="12">
        <f>I8*Supuestos!$B$30</f>
        <v/>
      </c>
      <c r="J44" s="12">
        <f>J8*Supuestos!$B$30</f>
        <v/>
      </c>
      <c r="K44" s="12">
        <f>K8*Supuestos!$B$30</f>
        <v/>
      </c>
      <c r="L44" s="12">
        <f>L8*Supuestos!$B$30</f>
        <v/>
      </c>
      <c r="M44" s="12">
        <f>M8*Supuestos!$B$30</f>
        <v/>
      </c>
      <c r="N44" s="12">
        <f>N8*Supuestos!$B$30</f>
        <v/>
      </c>
      <c r="O44" s="12">
        <f>O8*Supuestos!$B$30</f>
        <v/>
      </c>
      <c r="P44" s="12">
        <f>P8*Supuestos!$B$30</f>
        <v/>
      </c>
      <c r="Q44" s="12">
        <f>Q8*Supuestos!$B$30</f>
        <v/>
      </c>
      <c r="R44" s="12">
        <f>R8*Supuestos!$B$30</f>
        <v/>
      </c>
      <c r="S44" s="12">
        <f>S8*Supuestos!$B$30</f>
        <v/>
      </c>
      <c r="T44" s="12">
        <f>T8*Supuestos!$B$30</f>
        <v/>
      </c>
      <c r="U44" s="12">
        <f>U8*Supuestos!$B$30</f>
        <v/>
      </c>
      <c r="V44" s="12">
        <f>V8*Supuestos!$B$30</f>
        <v/>
      </c>
      <c r="W44" s="12">
        <f>W8*Supuestos!$B$30</f>
        <v/>
      </c>
      <c r="X44" s="12">
        <f>X8*Supuestos!$B$30</f>
        <v/>
      </c>
      <c r="Y44" s="12">
        <f>Y8*Supuestos!$B$30</f>
        <v/>
      </c>
      <c r="Z44" s="12">
        <f>Z8*Supuestos!$B$30</f>
        <v/>
      </c>
    </row>
    <row r="45">
      <c r="A45" s="5" t="inlineStr">
        <is>
          <t>Sueldo de Víctor</t>
        </is>
      </c>
      <c r="B45" s="2" t="n"/>
      <c r="C45" s="8">
        <f>Supuestos!$B$31</f>
        <v/>
      </c>
      <c r="D45" s="8">
        <f>Supuestos!$B$31</f>
        <v/>
      </c>
      <c r="E45" s="8">
        <f>Supuestos!$B$31</f>
        <v/>
      </c>
      <c r="F45" s="8">
        <f>Supuestos!$B$31</f>
        <v/>
      </c>
      <c r="G45" s="8">
        <f>Supuestos!$B$31</f>
        <v/>
      </c>
      <c r="H45" s="8">
        <f>Supuestos!$B$31</f>
        <v/>
      </c>
      <c r="I45" s="8">
        <f>Supuestos!$B$31</f>
        <v/>
      </c>
      <c r="J45" s="8">
        <f>Supuestos!$B$31</f>
        <v/>
      </c>
      <c r="K45" s="8">
        <f>Supuestos!$B$31</f>
        <v/>
      </c>
      <c r="L45" s="8">
        <f>Supuestos!$B$31</f>
        <v/>
      </c>
      <c r="M45" s="8">
        <f>Supuestos!$B$31</f>
        <v/>
      </c>
      <c r="N45" s="8">
        <f>Supuestos!$B$31</f>
        <v/>
      </c>
      <c r="O45" s="8">
        <f>Supuestos!$B$31</f>
        <v/>
      </c>
      <c r="P45" s="8">
        <f>Supuestos!$B$31</f>
        <v/>
      </c>
      <c r="Q45" s="8">
        <f>Supuestos!$B$31</f>
        <v/>
      </c>
      <c r="R45" s="8">
        <f>Supuestos!$B$31</f>
        <v/>
      </c>
      <c r="S45" s="8">
        <f>Supuestos!$B$31</f>
        <v/>
      </c>
      <c r="T45" s="8">
        <f>Supuestos!$B$31</f>
        <v/>
      </c>
      <c r="U45" s="8">
        <f>Supuestos!$B$31</f>
        <v/>
      </c>
      <c r="V45" s="8">
        <f>Supuestos!$B$31</f>
        <v/>
      </c>
      <c r="W45" s="8">
        <f>Supuestos!$B$31</f>
        <v/>
      </c>
      <c r="X45" s="8">
        <f>Supuestos!$B$31</f>
        <v/>
      </c>
      <c r="Y45" s="8">
        <f>Supuestos!$B$31</f>
        <v/>
      </c>
      <c r="Z45" s="8">
        <f>Supuestos!$B$31</f>
        <v/>
      </c>
    </row>
    <row r="46">
      <c r="A46" s="5" t="inlineStr">
        <is>
          <t>Pagos únicos (abogado, prueba de penetración)</t>
        </is>
      </c>
      <c r="B46" s="2" t="n"/>
      <c r="C46" s="12">
        <f>IF(C3=1,Supuestos!$B$32,0)+IF(C3=Supuestos!$B$34,Supuestos!$B$33,0)</f>
        <v/>
      </c>
      <c r="D46" s="12">
        <f>IF(D3=1,Supuestos!$B$32,0)+IF(D3=Supuestos!$B$34,Supuestos!$B$33,0)</f>
        <v/>
      </c>
      <c r="E46" s="12">
        <f>IF(E3=1,Supuestos!$B$32,0)+IF(E3=Supuestos!$B$34,Supuestos!$B$33,0)</f>
        <v/>
      </c>
      <c r="F46" s="12">
        <f>IF(F3=1,Supuestos!$B$32,0)+IF(F3=Supuestos!$B$34,Supuestos!$B$33,0)</f>
        <v/>
      </c>
      <c r="G46" s="12">
        <f>IF(G3=1,Supuestos!$B$32,0)+IF(G3=Supuestos!$B$34,Supuestos!$B$33,0)</f>
        <v/>
      </c>
      <c r="H46" s="12">
        <f>IF(H3=1,Supuestos!$B$32,0)+IF(H3=Supuestos!$B$34,Supuestos!$B$33,0)</f>
        <v/>
      </c>
      <c r="I46" s="12">
        <f>IF(I3=1,Supuestos!$B$32,0)+IF(I3=Supuestos!$B$34,Supuestos!$B$33,0)</f>
        <v/>
      </c>
      <c r="J46" s="12">
        <f>IF(J3=1,Supuestos!$B$32,0)+IF(J3=Supuestos!$B$34,Supuestos!$B$33,0)</f>
        <v/>
      </c>
      <c r="K46" s="12">
        <f>IF(K3=1,Supuestos!$B$32,0)+IF(K3=Supuestos!$B$34,Supuestos!$B$33,0)</f>
        <v/>
      </c>
      <c r="L46" s="12">
        <f>IF(L3=1,Supuestos!$B$32,0)+IF(L3=Supuestos!$B$34,Supuestos!$B$33,0)</f>
        <v/>
      </c>
      <c r="M46" s="12">
        <f>IF(M3=1,Supuestos!$B$32,0)+IF(M3=Supuestos!$B$34,Supuestos!$B$33,0)</f>
        <v/>
      </c>
      <c r="N46" s="12">
        <f>IF(N3=1,Supuestos!$B$32,0)+IF(N3=Supuestos!$B$34,Supuestos!$B$33,0)</f>
        <v/>
      </c>
      <c r="O46" s="12">
        <f>IF(O3=1,Supuestos!$B$32,0)+IF(O3=Supuestos!$B$34,Supuestos!$B$33,0)</f>
        <v/>
      </c>
      <c r="P46" s="12">
        <f>IF(P3=1,Supuestos!$B$32,0)+IF(P3=Supuestos!$B$34,Supuestos!$B$33,0)</f>
        <v/>
      </c>
      <c r="Q46" s="12">
        <f>IF(Q3=1,Supuestos!$B$32,0)+IF(Q3=Supuestos!$B$34,Supuestos!$B$33,0)</f>
        <v/>
      </c>
      <c r="R46" s="12">
        <f>IF(R3=1,Supuestos!$B$32,0)+IF(R3=Supuestos!$B$34,Supuestos!$B$33,0)</f>
        <v/>
      </c>
      <c r="S46" s="12">
        <f>IF(S3=1,Supuestos!$B$32,0)+IF(S3=Supuestos!$B$34,Supuestos!$B$33,0)</f>
        <v/>
      </c>
      <c r="T46" s="12">
        <f>IF(T3=1,Supuestos!$B$32,0)+IF(T3=Supuestos!$B$34,Supuestos!$B$33,0)</f>
        <v/>
      </c>
      <c r="U46" s="12">
        <f>IF(U3=1,Supuestos!$B$32,0)+IF(U3=Supuestos!$B$34,Supuestos!$B$33,0)</f>
        <v/>
      </c>
      <c r="V46" s="12">
        <f>IF(V3=1,Supuestos!$B$32,0)+IF(V3=Supuestos!$B$34,Supuestos!$B$33,0)</f>
        <v/>
      </c>
      <c r="W46" s="12">
        <f>IF(W3=1,Supuestos!$B$32,0)+IF(W3=Supuestos!$B$34,Supuestos!$B$33,0)</f>
        <v/>
      </c>
      <c r="X46" s="12">
        <f>IF(X3=1,Supuestos!$B$32,0)+IF(X3=Supuestos!$B$34,Supuestos!$B$33,0)</f>
        <v/>
      </c>
      <c r="Y46" s="12">
        <f>IF(Y3=1,Supuestos!$B$32,0)+IF(Y3=Supuestos!$B$34,Supuestos!$B$33,0)</f>
        <v/>
      </c>
      <c r="Z46" s="12">
        <f>IF(Z3=1,Supuestos!$B$32,0)+IF(Z3=Supuestos!$B$34,Supuestos!$B$33,0)</f>
        <v/>
      </c>
    </row>
    <row r="47">
      <c r="A47" s="5" t="inlineStr">
        <is>
          <t>Total fijos y crecimiento</t>
        </is>
      </c>
      <c r="B47" s="2" t="n"/>
      <c r="C47" s="12">
        <f>SUM(C42:C46)</f>
        <v/>
      </c>
      <c r="D47" s="12">
        <f>SUM(D42:D46)</f>
        <v/>
      </c>
      <c r="E47" s="12">
        <f>SUM(E42:E46)</f>
        <v/>
      </c>
      <c r="F47" s="12">
        <f>SUM(F42:F46)</f>
        <v/>
      </c>
      <c r="G47" s="12">
        <f>SUM(G42:G46)</f>
        <v/>
      </c>
      <c r="H47" s="12">
        <f>SUM(H42:H46)</f>
        <v/>
      </c>
      <c r="I47" s="12">
        <f>SUM(I42:I46)</f>
        <v/>
      </c>
      <c r="J47" s="12">
        <f>SUM(J42:J46)</f>
        <v/>
      </c>
      <c r="K47" s="12">
        <f>SUM(K42:K46)</f>
        <v/>
      </c>
      <c r="L47" s="12">
        <f>SUM(L42:L46)</f>
        <v/>
      </c>
      <c r="M47" s="12">
        <f>SUM(M42:M46)</f>
        <v/>
      </c>
      <c r="N47" s="12">
        <f>SUM(N42:N46)</f>
        <v/>
      </c>
      <c r="O47" s="12">
        <f>SUM(O42:O46)</f>
        <v/>
      </c>
      <c r="P47" s="12">
        <f>SUM(P42:P46)</f>
        <v/>
      </c>
      <c r="Q47" s="12">
        <f>SUM(Q42:Q46)</f>
        <v/>
      </c>
      <c r="R47" s="12">
        <f>SUM(R42:R46)</f>
        <v/>
      </c>
      <c r="S47" s="12">
        <f>SUM(S42:S46)</f>
        <v/>
      </c>
      <c r="T47" s="12">
        <f>SUM(T42:T46)</f>
        <v/>
      </c>
      <c r="U47" s="12">
        <f>SUM(U42:U46)</f>
        <v/>
      </c>
      <c r="V47" s="12">
        <f>SUM(V42:V46)</f>
        <v/>
      </c>
      <c r="W47" s="12">
        <f>SUM(W42:W46)</f>
        <v/>
      </c>
      <c r="X47" s="12">
        <f>SUM(X42:X46)</f>
        <v/>
      </c>
      <c r="Y47" s="12">
        <f>SUM(Y42:Y46)</f>
        <v/>
      </c>
      <c r="Z47" s="12">
        <f>SUM(Z42:Z46)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39" t="inlineStr">
        <is>
          <t>FLUJO NETO DEL MES</t>
        </is>
      </c>
      <c r="B49" s="40" t="n"/>
      <c r="C49" s="41">
        <f>C38-C47</f>
        <v/>
      </c>
      <c r="D49" s="41">
        <f>D38-D47</f>
        <v/>
      </c>
      <c r="E49" s="41">
        <f>E38-E47</f>
        <v/>
      </c>
      <c r="F49" s="41">
        <f>F38-F47</f>
        <v/>
      </c>
      <c r="G49" s="41">
        <f>G38-G47</f>
        <v/>
      </c>
      <c r="H49" s="41">
        <f>H38-H47</f>
        <v/>
      </c>
      <c r="I49" s="41">
        <f>I38-I47</f>
        <v/>
      </c>
      <c r="J49" s="41">
        <f>J38-J47</f>
        <v/>
      </c>
      <c r="K49" s="41">
        <f>K38-K47</f>
        <v/>
      </c>
      <c r="L49" s="41">
        <f>L38-L47</f>
        <v/>
      </c>
      <c r="M49" s="41">
        <f>M38-M47</f>
        <v/>
      </c>
      <c r="N49" s="41">
        <f>N38-N47</f>
        <v/>
      </c>
      <c r="O49" s="41">
        <f>O38-O47</f>
        <v/>
      </c>
      <c r="P49" s="41">
        <f>P38-P47</f>
        <v/>
      </c>
      <c r="Q49" s="41">
        <f>Q38-Q47</f>
        <v/>
      </c>
      <c r="R49" s="41">
        <f>R38-R47</f>
        <v/>
      </c>
      <c r="S49" s="41">
        <f>S38-S47</f>
        <v/>
      </c>
      <c r="T49" s="41">
        <f>T38-T47</f>
        <v/>
      </c>
      <c r="U49" s="41">
        <f>U38-U47</f>
        <v/>
      </c>
      <c r="V49" s="41">
        <f>V38-V47</f>
        <v/>
      </c>
      <c r="W49" s="41">
        <f>W38-W47</f>
        <v/>
      </c>
      <c r="X49" s="41">
        <f>X38-X47</f>
        <v/>
      </c>
      <c r="Y49" s="41">
        <f>Y38-Y47</f>
        <v/>
      </c>
      <c r="Z49" s="41">
        <f>Z38-Z47</f>
        <v/>
      </c>
    </row>
    <row r="50">
      <c r="A50" s="39" t="inlineStr">
        <is>
          <t>FLUJO ACUMULADO</t>
        </is>
      </c>
      <c r="B50" s="40" t="n"/>
      <c r="C50" s="41">
        <f>C49</f>
        <v/>
      </c>
      <c r="D50" s="41">
        <f>C50+D49</f>
        <v/>
      </c>
      <c r="E50" s="41">
        <f>D50+E49</f>
        <v/>
      </c>
      <c r="F50" s="41">
        <f>E50+F49</f>
        <v/>
      </c>
      <c r="G50" s="41">
        <f>F50+G49</f>
        <v/>
      </c>
      <c r="H50" s="41">
        <f>G50+H49</f>
        <v/>
      </c>
      <c r="I50" s="41">
        <f>H50+I49</f>
        <v/>
      </c>
      <c r="J50" s="41">
        <f>I50+J49</f>
        <v/>
      </c>
      <c r="K50" s="41">
        <f>J50+K49</f>
        <v/>
      </c>
      <c r="L50" s="41">
        <f>K50+L49</f>
        <v/>
      </c>
      <c r="M50" s="41">
        <f>L50+M49</f>
        <v/>
      </c>
      <c r="N50" s="41">
        <f>M50+N49</f>
        <v/>
      </c>
      <c r="O50" s="41">
        <f>N50+O49</f>
        <v/>
      </c>
      <c r="P50" s="41">
        <f>O50+P49</f>
        <v/>
      </c>
      <c r="Q50" s="41">
        <f>P50+Q49</f>
        <v/>
      </c>
      <c r="R50" s="41">
        <f>Q50+R49</f>
        <v/>
      </c>
      <c r="S50" s="41">
        <f>R50+S49</f>
        <v/>
      </c>
      <c r="T50" s="41">
        <f>S50+T49</f>
        <v/>
      </c>
      <c r="U50" s="41">
        <f>T50+U49</f>
        <v/>
      </c>
      <c r="V50" s="41">
        <f>U50+V49</f>
        <v/>
      </c>
      <c r="W50" s="41">
        <f>V50+W49</f>
        <v/>
      </c>
      <c r="X50" s="41">
        <f>W50+X49</f>
        <v/>
      </c>
      <c r="Y50" s="41">
        <f>X50+Y49</f>
        <v/>
      </c>
      <c r="Z50" s="41">
        <f>Y50+Z49</f>
        <v/>
      </c>
    </row>
    <row r="51">
      <c r="A51" s="5" t="inlineStr">
        <is>
          <t>Ingreso recurrente anualizado (ARR)</t>
        </is>
      </c>
      <c r="B51" s="2" t="n"/>
      <c r="C51" s="12">
        <f>C26*12</f>
        <v/>
      </c>
      <c r="D51" s="12">
        <f>D26*12</f>
        <v/>
      </c>
      <c r="E51" s="12">
        <f>E26*12</f>
        <v/>
      </c>
      <c r="F51" s="12">
        <f>F26*12</f>
        <v/>
      </c>
      <c r="G51" s="12">
        <f>G26*12</f>
        <v/>
      </c>
      <c r="H51" s="12">
        <f>H26*12</f>
        <v/>
      </c>
      <c r="I51" s="12">
        <f>I26*12</f>
        <v/>
      </c>
      <c r="J51" s="12">
        <f>J26*12</f>
        <v/>
      </c>
      <c r="K51" s="12">
        <f>K26*12</f>
        <v/>
      </c>
      <c r="L51" s="12">
        <f>L26*12</f>
        <v/>
      </c>
      <c r="M51" s="12">
        <f>M26*12</f>
        <v/>
      </c>
      <c r="N51" s="12">
        <f>N26*12</f>
        <v/>
      </c>
      <c r="O51" s="12">
        <f>O26*12</f>
        <v/>
      </c>
      <c r="P51" s="12">
        <f>P26*12</f>
        <v/>
      </c>
      <c r="Q51" s="12">
        <f>Q26*12</f>
        <v/>
      </c>
      <c r="R51" s="12">
        <f>R26*12</f>
        <v/>
      </c>
      <c r="S51" s="12">
        <f>S26*12</f>
        <v/>
      </c>
      <c r="T51" s="12">
        <f>T26*12</f>
        <v/>
      </c>
      <c r="U51" s="12">
        <f>U26*12</f>
        <v/>
      </c>
      <c r="V51" s="12">
        <f>V26*12</f>
        <v/>
      </c>
      <c r="W51" s="12">
        <f>W26*12</f>
        <v/>
      </c>
      <c r="X51" s="12">
        <f>X26*12</f>
        <v/>
      </c>
      <c r="Y51" s="12">
        <f>Y26*12</f>
        <v/>
      </c>
      <c r="Z51" s="12">
        <f>Z26*12</f>
        <v/>
      </c>
    </row>
    <row r="52">
      <c r="A52" s="5" t="inlineStr">
        <is>
          <t>Ayuda: mes con flujo positivo (99 = no)</t>
        </is>
      </c>
      <c r="B52" s="2" t="n"/>
      <c r="C52" s="34">
        <f>IF(C49&gt;0,C3,99)</f>
        <v/>
      </c>
      <c r="D52" s="34">
        <f>IF(D49&gt;0,D3,99)</f>
        <v/>
      </c>
      <c r="E52" s="34">
        <f>IF(E49&gt;0,E3,99)</f>
        <v/>
      </c>
      <c r="F52" s="34">
        <f>IF(F49&gt;0,F3,99)</f>
        <v/>
      </c>
      <c r="G52" s="34">
        <f>IF(G49&gt;0,G3,99)</f>
        <v/>
      </c>
      <c r="H52" s="34">
        <f>IF(H49&gt;0,H3,99)</f>
        <v/>
      </c>
      <c r="I52" s="34">
        <f>IF(I49&gt;0,I3,99)</f>
        <v/>
      </c>
      <c r="J52" s="34">
        <f>IF(J49&gt;0,J3,99)</f>
        <v/>
      </c>
      <c r="K52" s="34">
        <f>IF(K49&gt;0,K3,99)</f>
        <v/>
      </c>
      <c r="L52" s="34">
        <f>IF(L49&gt;0,L3,99)</f>
        <v/>
      </c>
      <c r="M52" s="34">
        <f>IF(M49&gt;0,M3,99)</f>
        <v/>
      </c>
      <c r="N52" s="34">
        <f>IF(N49&gt;0,N3,99)</f>
        <v/>
      </c>
      <c r="O52" s="34">
        <f>IF(O49&gt;0,O3,99)</f>
        <v/>
      </c>
      <c r="P52" s="34">
        <f>IF(P49&gt;0,P3,99)</f>
        <v/>
      </c>
      <c r="Q52" s="34">
        <f>IF(Q49&gt;0,Q3,99)</f>
        <v/>
      </c>
      <c r="R52" s="34">
        <f>IF(R49&gt;0,R3,99)</f>
        <v/>
      </c>
      <c r="S52" s="34">
        <f>IF(S49&gt;0,S3,99)</f>
        <v/>
      </c>
      <c r="T52" s="34">
        <f>IF(T49&gt;0,T3,99)</f>
        <v/>
      </c>
      <c r="U52" s="34">
        <f>IF(U49&gt;0,U3,99)</f>
        <v/>
      </c>
      <c r="V52" s="34">
        <f>IF(V49&gt;0,V3,99)</f>
        <v/>
      </c>
      <c r="W52" s="34">
        <f>IF(W49&gt;0,W3,99)</f>
        <v/>
      </c>
      <c r="X52" s="34">
        <f>IF(X49&gt;0,X3,99)</f>
        <v/>
      </c>
      <c r="Y52" s="34">
        <f>IF(Y49&gt;0,Y3,99)</f>
        <v/>
      </c>
      <c r="Z52" s="34">
        <f>IF(Z49&gt;0,Z3,99)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Escenario Base — mes a mes (MXN sin IVA)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Mes #</t>
        </is>
      </c>
      <c r="B3" s="2" t="n"/>
      <c r="C3" s="33" t="n">
        <v>1</v>
      </c>
      <c r="D3" s="33" t="n">
        <v>2</v>
      </c>
      <c r="E3" s="33" t="n">
        <v>3</v>
      </c>
      <c r="F3" s="33" t="n">
        <v>4</v>
      </c>
      <c r="G3" s="33" t="n">
        <v>5</v>
      </c>
      <c r="H3" s="33" t="n">
        <v>6</v>
      </c>
      <c r="I3" s="33" t="n">
        <v>7</v>
      </c>
      <c r="J3" s="33" t="n">
        <v>8</v>
      </c>
      <c r="K3" s="33" t="n">
        <v>9</v>
      </c>
      <c r="L3" s="33" t="n">
        <v>10</v>
      </c>
      <c r="M3" s="33" t="n">
        <v>11</v>
      </c>
      <c r="N3" s="33" t="n">
        <v>12</v>
      </c>
      <c r="O3" s="33" t="n">
        <v>13</v>
      </c>
      <c r="P3" s="33" t="n">
        <v>14</v>
      </c>
      <c r="Q3" s="33" t="n">
        <v>15</v>
      </c>
      <c r="R3" s="33" t="n">
        <v>16</v>
      </c>
      <c r="S3" s="33" t="n">
        <v>17</v>
      </c>
      <c r="T3" s="33" t="n">
        <v>18</v>
      </c>
      <c r="U3" s="33" t="n">
        <v>19</v>
      </c>
      <c r="V3" s="33" t="n">
        <v>20</v>
      </c>
      <c r="W3" s="33" t="n">
        <v>21</v>
      </c>
      <c r="X3" s="33" t="n">
        <v>22</v>
      </c>
      <c r="Y3" s="33" t="n">
        <v>23</v>
      </c>
      <c r="Z3" s="33" t="n">
        <v>24</v>
      </c>
    </row>
    <row r="4">
      <c r="A4" s="5" t="inlineStr">
        <is>
          <t>Mes</t>
        </is>
      </c>
      <c r="B4" s="2" t="n"/>
      <c r="C4" s="33" t="inlineStr">
        <is>
          <t>dic-2026</t>
        </is>
      </c>
      <c r="D4" s="33" t="inlineStr">
        <is>
          <t>ene-2027</t>
        </is>
      </c>
      <c r="E4" s="33" t="inlineStr">
        <is>
          <t>feb-2027</t>
        </is>
      </c>
      <c r="F4" s="33" t="inlineStr">
        <is>
          <t>mar-2027</t>
        </is>
      </c>
      <c r="G4" s="33" t="inlineStr">
        <is>
          <t>abr-2027</t>
        </is>
      </c>
      <c r="H4" s="33" t="inlineStr">
        <is>
          <t>may-2027</t>
        </is>
      </c>
      <c r="I4" s="33" t="inlineStr">
        <is>
          <t>jun-2027</t>
        </is>
      </c>
      <c r="J4" s="33" t="inlineStr">
        <is>
          <t>jul-2027</t>
        </is>
      </c>
      <c r="K4" s="33" t="inlineStr">
        <is>
          <t>ago-2027</t>
        </is>
      </c>
      <c r="L4" s="33" t="inlineStr">
        <is>
          <t>sep-2027</t>
        </is>
      </c>
      <c r="M4" s="33" t="inlineStr">
        <is>
          <t>oct-2027</t>
        </is>
      </c>
      <c r="N4" s="33" t="inlineStr">
        <is>
          <t>nov-2027</t>
        </is>
      </c>
      <c r="O4" s="33" t="inlineStr">
        <is>
          <t>dic-2027</t>
        </is>
      </c>
      <c r="P4" s="33" t="inlineStr">
        <is>
          <t>ene-2028</t>
        </is>
      </c>
      <c r="Q4" s="33" t="inlineStr">
        <is>
          <t>feb-2028</t>
        </is>
      </c>
      <c r="R4" s="33" t="inlineStr">
        <is>
          <t>mar-2028</t>
        </is>
      </c>
      <c r="S4" s="33" t="inlineStr">
        <is>
          <t>abr-2028</t>
        </is>
      </c>
      <c r="T4" s="33" t="inlineStr">
        <is>
          <t>may-2028</t>
        </is>
      </c>
      <c r="U4" s="33" t="inlineStr">
        <is>
          <t>jun-2028</t>
        </is>
      </c>
      <c r="V4" s="33" t="inlineStr">
        <is>
          <t>jul-2028</t>
        </is>
      </c>
      <c r="W4" s="33" t="inlineStr">
        <is>
          <t>ago-2028</t>
        </is>
      </c>
      <c r="X4" s="33" t="inlineStr">
        <is>
          <t>sep-2028</t>
        </is>
      </c>
      <c r="Y4" s="33" t="inlineStr">
        <is>
          <t>oct-2028</t>
        </is>
      </c>
      <c r="Z4" s="33" t="inlineStr">
        <is>
          <t>nov-2028</t>
        </is>
      </c>
    </row>
    <row r="5">
      <c r="A5" s="5" t="inlineStr">
        <is>
          <t>Plan Clínico disponible (1 = sí)</t>
        </is>
      </c>
      <c r="B5" s="2" t="n"/>
      <c r="C5" s="34">
        <f>IF(C3&gt;=Supuestos!$B$34,1,0)</f>
        <v/>
      </c>
      <c r="D5" s="34">
        <f>IF(D3&gt;=Supuestos!$B$34,1,0)</f>
        <v/>
      </c>
      <c r="E5" s="34">
        <f>IF(E3&gt;=Supuestos!$B$34,1,0)</f>
        <v/>
      </c>
      <c r="F5" s="34">
        <f>IF(F3&gt;=Supuestos!$B$34,1,0)</f>
        <v/>
      </c>
      <c r="G5" s="34">
        <f>IF(G3&gt;=Supuestos!$B$34,1,0)</f>
        <v/>
      </c>
      <c r="H5" s="34">
        <f>IF(H3&gt;=Supuestos!$B$34,1,0)</f>
        <v/>
      </c>
      <c r="I5" s="34">
        <f>IF(I3&gt;=Supuestos!$B$34,1,0)</f>
        <v/>
      </c>
      <c r="J5" s="34">
        <f>IF(J3&gt;=Supuestos!$B$34,1,0)</f>
        <v/>
      </c>
      <c r="K5" s="34">
        <f>IF(K3&gt;=Supuestos!$B$34,1,0)</f>
        <v/>
      </c>
      <c r="L5" s="34">
        <f>IF(L3&gt;=Supuestos!$B$34,1,0)</f>
        <v/>
      </c>
      <c r="M5" s="34">
        <f>IF(M3&gt;=Supuestos!$B$34,1,0)</f>
        <v/>
      </c>
      <c r="N5" s="34">
        <f>IF(N3&gt;=Supuestos!$B$34,1,0)</f>
        <v/>
      </c>
      <c r="O5" s="34">
        <f>IF(O3&gt;=Supuestos!$B$34,1,0)</f>
        <v/>
      </c>
      <c r="P5" s="34">
        <f>IF(P3&gt;=Supuestos!$B$34,1,0)</f>
        <v/>
      </c>
      <c r="Q5" s="34">
        <f>IF(Q3&gt;=Supuestos!$B$34,1,0)</f>
        <v/>
      </c>
      <c r="R5" s="34">
        <f>IF(R3&gt;=Supuestos!$B$34,1,0)</f>
        <v/>
      </c>
      <c r="S5" s="34">
        <f>IF(S3&gt;=Supuestos!$B$34,1,0)</f>
        <v/>
      </c>
      <c r="T5" s="34">
        <f>IF(T3&gt;=Supuestos!$B$34,1,0)</f>
        <v/>
      </c>
      <c r="U5" s="34">
        <f>IF(U3&gt;=Supuestos!$B$34,1,0)</f>
        <v/>
      </c>
      <c r="V5" s="34">
        <f>IF(V3&gt;=Supuestos!$B$34,1,0)</f>
        <v/>
      </c>
      <c r="W5" s="34">
        <f>IF(W3&gt;=Supuestos!$B$34,1,0)</f>
        <v/>
      </c>
      <c r="X5" s="34">
        <f>IF(X3&gt;=Supuestos!$B$34,1,0)</f>
        <v/>
      </c>
      <c r="Y5" s="34">
        <f>IF(Y3&gt;=Supuestos!$B$34,1,0)</f>
        <v/>
      </c>
      <c r="Z5" s="34">
        <f>IF(Z3&gt;=Supuestos!$B$34,1,0)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5" t="inlineStr">
        <is>
          <t>MÉDICOS</t>
        </is>
      </c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</row>
    <row r="8">
      <c r="A8" s="5" t="inlineStr">
        <is>
          <t>Médicos nuevos</t>
        </is>
      </c>
      <c r="B8" s="2" t="n"/>
      <c r="C8" s="37">
        <f>Supuestos!$C$44</f>
        <v/>
      </c>
      <c r="D8" s="37">
        <f>Supuestos!$C$44</f>
        <v/>
      </c>
      <c r="E8" s="37">
        <f>Supuestos!$C$44</f>
        <v/>
      </c>
      <c r="F8" s="37">
        <f>Supuestos!$C$44</f>
        <v/>
      </c>
      <c r="G8" s="37">
        <f>Supuestos!$C$44</f>
        <v/>
      </c>
      <c r="H8" s="37">
        <f>Supuestos!$C$44</f>
        <v/>
      </c>
      <c r="I8" s="37">
        <f>Supuestos!$C$44</f>
        <v/>
      </c>
      <c r="J8" s="37">
        <f>Supuestos!$C$44</f>
        <v/>
      </c>
      <c r="K8" s="37">
        <f>Supuestos!$C$44</f>
        <v/>
      </c>
      <c r="L8" s="37">
        <f>Supuestos!$C$44</f>
        <v/>
      </c>
      <c r="M8" s="37">
        <f>Supuestos!$C$44</f>
        <v/>
      </c>
      <c r="N8" s="37">
        <f>Supuestos!$C$44</f>
        <v/>
      </c>
      <c r="O8" s="37">
        <f>Supuestos!$C$44</f>
        <v/>
      </c>
      <c r="P8" s="37">
        <f>Supuestos!$C$44</f>
        <v/>
      </c>
      <c r="Q8" s="37">
        <f>Supuestos!$C$44</f>
        <v/>
      </c>
      <c r="R8" s="37">
        <f>Supuestos!$C$44</f>
        <v/>
      </c>
      <c r="S8" s="37">
        <f>Supuestos!$C$44</f>
        <v/>
      </c>
      <c r="T8" s="37">
        <f>Supuestos!$C$44</f>
        <v/>
      </c>
      <c r="U8" s="37">
        <f>Supuestos!$C$44</f>
        <v/>
      </c>
      <c r="V8" s="37">
        <f>Supuestos!$C$44</f>
        <v/>
      </c>
      <c r="W8" s="37">
        <f>Supuestos!$C$44</f>
        <v/>
      </c>
      <c r="X8" s="37">
        <f>Supuestos!$C$44</f>
        <v/>
      </c>
      <c r="Y8" s="37">
        <f>Supuestos!$C$44</f>
        <v/>
      </c>
      <c r="Z8" s="37">
        <f>Supuestos!$C$44</f>
        <v/>
      </c>
    </row>
    <row r="9">
      <c r="A9" s="5" t="inlineStr">
        <is>
          <t>Fundadores nuevos</t>
        </is>
      </c>
      <c r="B9" s="2" t="n"/>
      <c r="C9" s="38">
        <f>MIN(C8,Supuestos!$B$9)</f>
        <v/>
      </c>
      <c r="D9" s="38">
        <f>MIN(D8,Supuestos!$B$9-C10)</f>
        <v/>
      </c>
      <c r="E9" s="38">
        <f>MIN(E8,Supuestos!$B$9-D10)</f>
        <v/>
      </c>
      <c r="F9" s="38">
        <f>MIN(F8,Supuestos!$B$9-E10)</f>
        <v/>
      </c>
      <c r="G9" s="38">
        <f>MIN(G8,Supuestos!$B$9-F10)</f>
        <v/>
      </c>
      <c r="H9" s="38">
        <f>MIN(H8,Supuestos!$B$9-G10)</f>
        <v/>
      </c>
      <c r="I9" s="38">
        <f>MIN(I8,Supuestos!$B$9-H10)</f>
        <v/>
      </c>
      <c r="J9" s="38">
        <f>MIN(J8,Supuestos!$B$9-I10)</f>
        <v/>
      </c>
      <c r="K9" s="38">
        <f>MIN(K8,Supuestos!$B$9-J10)</f>
        <v/>
      </c>
      <c r="L9" s="38">
        <f>MIN(L8,Supuestos!$B$9-K10)</f>
        <v/>
      </c>
      <c r="M9" s="38">
        <f>MIN(M8,Supuestos!$B$9-L10)</f>
        <v/>
      </c>
      <c r="N9" s="38">
        <f>MIN(N8,Supuestos!$B$9-M10)</f>
        <v/>
      </c>
      <c r="O9" s="38">
        <f>MIN(O8,Supuestos!$B$9-N10)</f>
        <v/>
      </c>
      <c r="P9" s="38">
        <f>MIN(P8,Supuestos!$B$9-O10)</f>
        <v/>
      </c>
      <c r="Q9" s="38">
        <f>MIN(Q8,Supuestos!$B$9-P10)</f>
        <v/>
      </c>
      <c r="R9" s="38">
        <f>MIN(R8,Supuestos!$B$9-Q10)</f>
        <v/>
      </c>
      <c r="S9" s="38">
        <f>MIN(S8,Supuestos!$B$9-R10)</f>
        <v/>
      </c>
      <c r="T9" s="38">
        <f>MIN(T8,Supuestos!$B$9-S10)</f>
        <v/>
      </c>
      <c r="U9" s="38">
        <f>MIN(U8,Supuestos!$B$9-T10)</f>
        <v/>
      </c>
      <c r="V9" s="38">
        <f>MIN(V8,Supuestos!$B$9-U10)</f>
        <v/>
      </c>
      <c r="W9" s="38">
        <f>MIN(W8,Supuestos!$B$9-V10)</f>
        <v/>
      </c>
      <c r="X9" s="38">
        <f>MIN(X8,Supuestos!$B$9-W10)</f>
        <v/>
      </c>
      <c r="Y9" s="38">
        <f>MIN(Y8,Supuestos!$B$9-X10)</f>
        <v/>
      </c>
      <c r="Z9" s="38">
        <f>MIN(Z8,Supuestos!$B$9-Y10)</f>
        <v/>
      </c>
    </row>
    <row r="10">
      <c r="A10" s="5" t="inlineStr">
        <is>
          <t>Fundadores inscritos (acumulado)</t>
        </is>
      </c>
      <c r="B10" s="2" t="n"/>
      <c r="C10" s="38">
        <f>C9</f>
        <v/>
      </c>
      <c r="D10" s="38">
        <f>C10+D9</f>
        <v/>
      </c>
      <c r="E10" s="38">
        <f>D10+E9</f>
        <v/>
      </c>
      <c r="F10" s="38">
        <f>E10+F9</f>
        <v/>
      </c>
      <c r="G10" s="38">
        <f>F10+G9</f>
        <v/>
      </c>
      <c r="H10" s="38">
        <f>G10+H9</f>
        <v/>
      </c>
      <c r="I10" s="38">
        <f>H10+I9</f>
        <v/>
      </c>
      <c r="J10" s="38">
        <f>I10+J9</f>
        <v/>
      </c>
      <c r="K10" s="38">
        <f>J10+K9</f>
        <v/>
      </c>
      <c r="L10" s="38">
        <f>K10+L9</f>
        <v/>
      </c>
      <c r="M10" s="38">
        <f>L10+M9</f>
        <v/>
      </c>
      <c r="N10" s="38">
        <f>M10+N9</f>
        <v/>
      </c>
      <c r="O10" s="38">
        <f>N10+O9</f>
        <v/>
      </c>
      <c r="P10" s="38">
        <f>O10+P9</f>
        <v/>
      </c>
      <c r="Q10" s="38">
        <f>P10+Q9</f>
        <v/>
      </c>
      <c r="R10" s="38">
        <f>Q10+R9</f>
        <v/>
      </c>
      <c r="S10" s="38">
        <f>R10+S9</f>
        <v/>
      </c>
      <c r="T10" s="38">
        <f>S10+T9</f>
        <v/>
      </c>
      <c r="U10" s="38">
        <f>T10+U9</f>
        <v/>
      </c>
      <c r="V10" s="38">
        <f>U10+V9</f>
        <v/>
      </c>
      <c r="W10" s="38">
        <f>V10+W9</f>
        <v/>
      </c>
      <c r="X10" s="38">
        <f>W10+X9</f>
        <v/>
      </c>
      <c r="Y10" s="38">
        <f>X10+Y9</f>
        <v/>
      </c>
      <c r="Z10" s="38">
        <f>Y10+Z9</f>
        <v/>
      </c>
    </row>
    <row r="11">
      <c r="A11" s="5" t="inlineStr">
        <is>
          <t>Nuevos no fundadores</t>
        </is>
      </c>
      <c r="B11" s="2" t="n"/>
      <c r="C11" s="38">
        <f>C8-C9</f>
        <v/>
      </c>
      <c r="D11" s="38">
        <f>D8-D9</f>
        <v/>
      </c>
      <c r="E11" s="38">
        <f>E8-E9</f>
        <v/>
      </c>
      <c r="F11" s="38">
        <f>F8-F9</f>
        <v/>
      </c>
      <c r="G11" s="38">
        <f>G8-G9</f>
        <v/>
      </c>
      <c r="H11" s="38">
        <f>H8-H9</f>
        <v/>
      </c>
      <c r="I11" s="38">
        <f>I8-I9</f>
        <v/>
      </c>
      <c r="J11" s="38">
        <f>J8-J9</f>
        <v/>
      </c>
      <c r="K11" s="38">
        <f>K8-K9</f>
        <v/>
      </c>
      <c r="L11" s="38">
        <f>L8-L9</f>
        <v/>
      </c>
      <c r="M11" s="38">
        <f>M8-M9</f>
        <v/>
      </c>
      <c r="N11" s="38">
        <f>N8-N9</f>
        <v/>
      </c>
      <c r="O11" s="38">
        <f>O8-O9</f>
        <v/>
      </c>
      <c r="P11" s="38">
        <f>P8-P9</f>
        <v/>
      </c>
      <c r="Q11" s="38">
        <f>Q8-Q9</f>
        <v/>
      </c>
      <c r="R11" s="38">
        <f>R8-R9</f>
        <v/>
      </c>
      <c r="S11" s="38">
        <f>S8-S9</f>
        <v/>
      </c>
      <c r="T11" s="38">
        <f>T8-T9</f>
        <v/>
      </c>
      <c r="U11" s="38">
        <f>U8-U9</f>
        <v/>
      </c>
      <c r="V11" s="38">
        <f>V8-V9</f>
        <v/>
      </c>
      <c r="W11" s="38">
        <f>W8-W9</f>
        <v/>
      </c>
      <c r="X11" s="38">
        <f>X8-X9</f>
        <v/>
      </c>
      <c r="Y11" s="38">
        <f>Y8-Y9</f>
        <v/>
      </c>
      <c r="Z11" s="38">
        <f>Z8-Z9</f>
        <v/>
      </c>
    </row>
    <row r="12">
      <c r="A12" s="5" t="inlineStr">
        <is>
          <t>Nuevos que eligen Clínico</t>
        </is>
      </c>
      <c r="B12" s="2" t="n"/>
      <c r="C12" s="38">
        <f>C11*C5*Supuestos!$C$46</f>
        <v/>
      </c>
      <c r="D12" s="38">
        <f>D11*D5*Supuestos!$C$46</f>
        <v/>
      </c>
      <c r="E12" s="38">
        <f>E11*E5*Supuestos!$C$46</f>
        <v/>
      </c>
      <c r="F12" s="38">
        <f>F11*F5*Supuestos!$C$46</f>
        <v/>
      </c>
      <c r="G12" s="38">
        <f>G11*G5*Supuestos!$C$46</f>
        <v/>
      </c>
      <c r="H12" s="38">
        <f>H11*H5*Supuestos!$C$46</f>
        <v/>
      </c>
      <c r="I12" s="38">
        <f>I11*I5*Supuestos!$C$46</f>
        <v/>
      </c>
      <c r="J12" s="38">
        <f>J11*J5*Supuestos!$C$46</f>
        <v/>
      </c>
      <c r="K12" s="38">
        <f>K11*K5*Supuestos!$C$46</f>
        <v/>
      </c>
      <c r="L12" s="38">
        <f>L11*L5*Supuestos!$C$46</f>
        <v/>
      </c>
      <c r="M12" s="38">
        <f>M11*M5*Supuestos!$C$46</f>
        <v/>
      </c>
      <c r="N12" s="38">
        <f>N11*N5*Supuestos!$C$46</f>
        <v/>
      </c>
      <c r="O12" s="38">
        <f>O11*O5*Supuestos!$C$46</f>
        <v/>
      </c>
      <c r="P12" s="38">
        <f>P11*P5*Supuestos!$C$46</f>
        <v/>
      </c>
      <c r="Q12" s="38">
        <f>Q11*Q5*Supuestos!$C$46</f>
        <v/>
      </c>
      <c r="R12" s="38">
        <f>R11*R5*Supuestos!$C$46</f>
        <v/>
      </c>
      <c r="S12" s="38">
        <f>S11*S5*Supuestos!$C$46</f>
        <v/>
      </c>
      <c r="T12" s="38">
        <f>T11*T5*Supuestos!$C$46</f>
        <v/>
      </c>
      <c r="U12" s="38">
        <f>U11*U5*Supuestos!$C$46</f>
        <v/>
      </c>
      <c r="V12" s="38">
        <f>V11*V5*Supuestos!$C$46</f>
        <v/>
      </c>
      <c r="W12" s="38">
        <f>W11*W5*Supuestos!$C$46</f>
        <v/>
      </c>
      <c r="X12" s="38">
        <f>X11*X5*Supuestos!$C$46</f>
        <v/>
      </c>
      <c r="Y12" s="38">
        <f>Y11*Y5*Supuestos!$C$46</f>
        <v/>
      </c>
      <c r="Z12" s="38">
        <f>Z11*Z5*Supuestos!$C$46</f>
        <v/>
      </c>
    </row>
    <row r="13">
      <c r="A13" s="5" t="inlineStr">
        <is>
          <t>Nuevos que eligen Red</t>
        </is>
      </c>
      <c r="B13" s="2" t="n"/>
      <c r="C13" s="38">
        <f>C11-C12</f>
        <v/>
      </c>
      <c r="D13" s="38">
        <f>D11-D12</f>
        <v/>
      </c>
      <c r="E13" s="38">
        <f>E11-E12</f>
        <v/>
      </c>
      <c r="F13" s="38">
        <f>F11-F12</f>
        <v/>
      </c>
      <c r="G13" s="38">
        <f>G11-G12</f>
        <v/>
      </c>
      <c r="H13" s="38">
        <f>H11-H12</f>
        <v/>
      </c>
      <c r="I13" s="38">
        <f>I11-I12</f>
        <v/>
      </c>
      <c r="J13" s="38">
        <f>J11-J12</f>
        <v/>
      </c>
      <c r="K13" s="38">
        <f>K11-K12</f>
        <v/>
      </c>
      <c r="L13" s="38">
        <f>L11-L12</f>
        <v/>
      </c>
      <c r="M13" s="38">
        <f>M11-M12</f>
        <v/>
      </c>
      <c r="N13" s="38">
        <f>N11-N12</f>
        <v/>
      </c>
      <c r="O13" s="38">
        <f>O11-O12</f>
        <v/>
      </c>
      <c r="P13" s="38">
        <f>P11-P12</f>
        <v/>
      </c>
      <c r="Q13" s="38">
        <f>Q11-Q12</f>
        <v/>
      </c>
      <c r="R13" s="38">
        <f>R11-R12</f>
        <v/>
      </c>
      <c r="S13" s="38">
        <f>S11-S12</f>
        <v/>
      </c>
      <c r="T13" s="38">
        <f>T11-T12</f>
        <v/>
      </c>
      <c r="U13" s="38">
        <f>U11-U12</f>
        <v/>
      </c>
      <c r="V13" s="38">
        <f>V11-V12</f>
        <v/>
      </c>
      <c r="W13" s="38">
        <f>W11-W12</f>
        <v/>
      </c>
      <c r="X13" s="38">
        <f>X11-X12</f>
        <v/>
      </c>
      <c r="Y13" s="38">
        <f>Y11-Y12</f>
        <v/>
      </c>
      <c r="Z13" s="38">
        <f>Z11-Z12</f>
        <v/>
      </c>
    </row>
    <row r="14">
      <c r="A14" s="5" t="inlineStr">
        <is>
          <t>Fundadores activos</t>
        </is>
      </c>
      <c r="B14" s="2" t="n"/>
      <c r="C14" s="38">
        <f>C9</f>
        <v/>
      </c>
      <c r="D14" s="38">
        <f>C14*(1-Supuestos!$C$45)+D9</f>
        <v/>
      </c>
      <c r="E14" s="38">
        <f>D14*(1-Supuestos!$C$45)+E9</f>
        <v/>
      </c>
      <c r="F14" s="38">
        <f>E14*(1-Supuestos!$C$45)+F9</f>
        <v/>
      </c>
      <c r="G14" s="38">
        <f>F14*(1-Supuestos!$C$45)+G9</f>
        <v/>
      </c>
      <c r="H14" s="38">
        <f>G14*(1-Supuestos!$C$45)+H9</f>
        <v/>
      </c>
      <c r="I14" s="38">
        <f>H14*(1-Supuestos!$C$45)+I9</f>
        <v/>
      </c>
      <c r="J14" s="38">
        <f>I14*(1-Supuestos!$C$45)+J9</f>
        <v/>
      </c>
      <c r="K14" s="38">
        <f>J14*(1-Supuestos!$C$45)+K9</f>
        <v/>
      </c>
      <c r="L14" s="38">
        <f>K14*(1-Supuestos!$C$45)+L9</f>
        <v/>
      </c>
      <c r="M14" s="38">
        <f>L14*(1-Supuestos!$C$45)+M9</f>
        <v/>
      </c>
      <c r="N14" s="38">
        <f>M14*(1-Supuestos!$C$45)+N9</f>
        <v/>
      </c>
      <c r="O14" s="38">
        <f>N14*(1-Supuestos!$C$45)+O9</f>
        <v/>
      </c>
      <c r="P14" s="38">
        <f>O14*(1-Supuestos!$C$45)+P9</f>
        <v/>
      </c>
      <c r="Q14" s="38">
        <f>P14*(1-Supuestos!$C$45)+Q9</f>
        <v/>
      </c>
      <c r="R14" s="38">
        <f>Q14*(1-Supuestos!$C$45)+R9</f>
        <v/>
      </c>
      <c r="S14" s="38">
        <f>R14*(1-Supuestos!$C$45)+S9</f>
        <v/>
      </c>
      <c r="T14" s="38">
        <f>S14*(1-Supuestos!$C$45)+T9</f>
        <v/>
      </c>
      <c r="U14" s="38">
        <f>T14*(1-Supuestos!$C$45)+U9</f>
        <v/>
      </c>
      <c r="V14" s="38">
        <f>U14*(1-Supuestos!$C$45)+V9</f>
        <v/>
      </c>
      <c r="W14" s="38">
        <f>V14*(1-Supuestos!$C$45)+W9</f>
        <v/>
      </c>
      <c r="X14" s="38">
        <f>W14*(1-Supuestos!$C$45)+X9</f>
        <v/>
      </c>
      <c r="Y14" s="38">
        <f>X14*(1-Supuestos!$C$45)+Y9</f>
        <v/>
      </c>
      <c r="Z14" s="38">
        <f>Y14*(1-Supuestos!$C$45)+Z9</f>
        <v/>
      </c>
    </row>
    <row r="15">
      <c r="A15" s="5" t="inlineStr">
        <is>
          <t>Suben de Red a Clínico</t>
        </is>
      </c>
      <c r="B15" s="2" t="n"/>
      <c r="C15" s="38">
        <f>0</f>
        <v/>
      </c>
      <c r="D15" s="38">
        <f>C16*(1-Supuestos!$C$45)*D5*Supuestos!$C$47</f>
        <v/>
      </c>
      <c r="E15" s="38">
        <f>D16*(1-Supuestos!$C$45)*E5*Supuestos!$C$47</f>
        <v/>
      </c>
      <c r="F15" s="38">
        <f>E16*(1-Supuestos!$C$45)*F5*Supuestos!$C$47</f>
        <v/>
      </c>
      <c r="G15" s="38">
        <f>F16*(1-Supuestos!$C$45)*G5*Supuestos!$C$47</f>
        <v/>
      </c>
      <c r="H15" s="38">
        <f>G16*(1-Supuestos!$C$45)*H5*Supuestos!$C$47</f>
        <v/>
      </c>
      <c r="I15" s="38">
        <f>H16*(1-Supuestos!$C$45)*I5*Supuestos!$C$47</f>
        <v/>
      </c>
      <c r="J15" s="38">
        <f>I16*(1-Supuestos!$C$45)*J5*Supuestos!$C$47</f>
        <v/>
      </c>
      <c r="K15" s="38">
        <f>J16*(1-Supuestos!$C$45)*K5*Supuestos!$C$47</f>
        <v/>
      </c>
      <c r="L15" s="38">
        <f>K16*(1-Supuestos!$C$45)*L5*Supuestos!$C$47</f>
        <v/>
      </c>
      <c r="M15" s="38">
        <f>L16*(1-Supuestos!$C$45)*M5*Supuestos!$C$47</f>
        <v/>
      </c>
      <c r="N15" s="38">
        <f>M16*(1-Supuestos!$C$45)*N5*Supuestos!$C$47</f>
        <v/>
      </c>
      <c r="O15" s="38">
        <f>N16*(1-Supuestos!$C$45)*O5*Supuestos!$C$47</f>
        <v/>
      </c>
      <c r="P15" s="38">
        <f>O16*(1-Supuestos!$C$45)*P5*Supuestos!$C$47</f>
        <v/>
      </c>
      <c r="Q15" s="38">
        <f>P16*(1-Supuestos!$C$45)*Q5*Supuestos!$C$47</f>
        <v/>
      </c>
      <c r="R15" s="38">
        <f>Q16*(1-Supuestos!$C$45)*R5*Supuestos!$C$47</f>
        <v/>
      </c>
      <c r="S15" s="38">
        <f>R16*(1-Supuestos!$C$45)*S5*Supuestos!$C$47</f>
        <v/>
      </c>
      <c r="T15" s="38">
        <f>S16*(1-Supuestos!$C$45)*T5*Supuestos!$C$47</f>
        <v/>
      </c>
      <c r="U15" s="38">
        <f>T16*(1-Supuestos!$C$45)*U5*Supuestos!$C$47</f>
        <v/>
      </c>
      <c r="V15" s="38">
        <f>U16*(1-Supuestos!$C$45)*V5*Supuestos!$C$47</f>
        <v/>
      </c>
      <c r="W15" s="38">
        <f>V16*(1-Supuestos!$C$45)*W5*Supuestos!$C$47</f>
        <v/>
      </c>
      <c r="X15" s="38">
        <f>W16*(1-Supuestos!$C$45)*X5*Supuestos!$C$47</f>
        <v/>
      </c>
      <c r="Y15" s="38">
        <f>X16*(1-Supuestos!$C$45)*Y5*Supuestos!$C$47</f>
        <v/>
      </c>
      <c r="Z15" s="38">
        <f>Y16*(1-Supuestos!$C$45)*Z5*Supuestos!$C$47</f>
        <v/>
      </c>
    </row>
    <row r="16">
      <c r="A16" s="5" t="inlineStr">
        <is>
          <t>Red activos</t>
        </is>
      </c>
      <c r="B16" s="2" t="n"/>
      <c r="C16" s="38">
        <f>C13</f>
        <v/>
      </c>
      <c r="D16" s="38">
        <f>C16*(1-Supuestos!$C$45)-D15+D13</f>
        <v/>
      </c>
      <c r="E16" s="38">
        <f>D16*(1-Supuestos!$C$45)-E15+E13</f>
        <v/>
      </c>
      <c r="F16" s="38">
        <f>E16*(1-Supuestos!$C$45)-F15+F13</f>
        <v/>
      </c>
      <c r="G16" s="38">
        <f>F16*(1-Supuestos!$C$45)-G15+G13</f>
        <v/>
      </c>
      <c r="H16" s="38">
        <f>G16*(1-Supuestos!$C$45)-H15+H13</f>
        <v/>
      </c>
      <c r="I16" s="38">
        <f>H16*(1-Supuestos!$C$45)-I15+I13</f>
        <v/>
      </c>
      <c r="J16" s="38">
        <f>I16*(1-Supuestos!$C$45)-J15+J13</f>
        <v/>
      </c>
      <c r="K16" s="38">
        <f>J16*(1-Supuestos!$C$45)-K15+K13</f>
        <v/>
      </c>
      <c r="L16" s="38">
        <f>K16*(1-Supuestos!$C$45)-L15+L13</f>
        <v/>
      </c>
      <c r="M16" s="38">
        <f>L16*(1-Supuestos!$C$45)-M15+M13</f>
        <v/>
      </c>
      <c r="N16" s="38">
        <f>M16*(1-Supuestos!$C$45)-N15+N13</f>
        <v/>
      </c>
      <c r="O16" s="38">
        <f>N16*(1-Supuestos!$C$45)-O15+O13</f>
        <v/>
      </c>
      <c r="P16" s="38">
        <f>O16*(1-Supuestos!$C$45)-P15+P13</f>
        <v/>
      </c>
      <c r="Q16" s="38">
        <f>P16*(1-Supuestos!$C$45)-Q15+Q13</f>
        <v/>
      </c>
      <c r="R16" s="38">
        <f>Q16*(1-Supuestos!$C$45)-R15+R13</f>
        <v/>
      </c>
      <c r="S16" s="38">
        <f>R16*(1-Supuestos!$C$45)-S15+S13</f>
        <v/>
      </c>
      <c r="T16" s="38">
        <f>S16*(1-Supuestos!$C$45)-T15+T13</f>
        <v/>
      </c>
      <c r="U16" s="38">
        <f>T16*(1-Supuestos!$C$45)-U15+U13</f>
        <v/>
      </c>
      <c r="V16" s="38">
        <f>U16*(1-Supuestos!$C$45)-V15+V13</f>
        <v/>
      </c>
      <c r="W16" s="38">
        <f>V16*(1-Supuestos!$C$45)-W15+W13</f>
        <v/>
      </c>
      <c r="X16" s="38">
        <f>W16*(1-Supuestos!$C$45)-X15+X13</f>
        <v/>
      </c>
      <c r="Y16" s="38">
        <f>X16*(1-Supuestos!$C$45)-Y15+Y13</f>
        <v/>
      </c>
      <c r="Z16" s="38">
        <f>Y16*(1-Supuestos!$C$45)-Z15+Z13</f>
        <v/>
      </c>
    </row>
    <row r="17">
      <c r="A17" s="5" t="inlineStr">
        <is>
          <t>Clínico activos (precio completo)</t>
        </is>
      </c>
      <c r="B17" s="2" t="n"/>
      <c r="C17" s="38">
        <f>C12</f>
        <v/>
      </c>
      <c r="D17" s="38">
        <f>C17*(1-Supuestos!$C$45)+D12+D15</f>
        <v/>
      </c>
      <c r="E17" s="38">
        <f>D17*(1-Supuestos!$C$45)+E12+E15</f>
        <v/>
      </c>
      <c r="F17" s="38">
        <f>E17*(1-Supuestos!$C$45)+F12+F15</f>
        <v/>
      </c>
      <c r="G17" s="38">
        <f>F17*(1-Supuestos!$C$45)+G12+G15</f>
        <v/>
      </c>
      <c r="H17" s="38">
        <f>G17*(1-Supuestos!$C$45)+H12+H15</f>
        <v/>
      </c>
      <c r="I17" s="38">
        <f>H17*(1-Supuestos!$C$45)+I12+I15</f>
        <v/>
      </c>
      <c r="J17" s="38">
        <f>I17*(1-Supuestos!$C$45)+J12+J15</f>
        <v/>
      </c>
      <c r="K17" s="38">
        <f>J17*(1-Supuestos!$C$45)+K12+K15</f>
        <v/>
      </c>
      <c r="L17" s="38">
        <f>K17*(1-Supuestos!$C$45)+L12+L15</f>
        <v/>
      </c>
      <c r="M17" s="38">
        <f>L17*(1-Supuestos!$C$45)+M12+M15</f>
        <v/>
      </c>
      <c r="N17" s="38">
        <f>M17*(1-Supuestos!$C$45)+N12+N15</f>
        <v/>
      </c>
      <c r="O17" s="38">
        <f>N17*(1-Supuestos!$C$45)+O12+O15</f>
        <v/>
      </c>
      <c r="P17" s="38">
        <f>O17*(1-Supuestos!$C$45)+P12+P15</f>
        <v/>
      </c>
      <c r="Q17" s="38">
        <f>P17*(1-Supuestos!$C$45)+Q12+Q15</f>
        <v/>
      </c>
      <c r="R17" s="38">
        <f>Q17*(1-Supuestos!$C$45)+R12+R15</f>
        <v/>
      </c>
      <c r="S17" s="38">
        <f>R17*(1-Supuestos!$C$45)+S12+S15</f>
        <v/>
      </c>
      <c r="T17" s="38">
        <f>S17*(1-Supuestos!$C$45)+T12+T15</f>
        <v/>
      </c>
      <c r="U17" s="38">
        <f>T17*(1-Supuestos!$C$45)+U12+U15</f>
        <v/>
      </c>
      <c r="V17" s="38">
        <f>U17*(1-Supuestos!$C$45)+V12+V15</f>
        <v/>
      </c>
      <c r="W17" s="38">
        <f>V17*(1-Supuestos!$C$45)+W12+W15</f>
        <v/>
      </c>
      <c r="X17" s="38">
        <f>W17*(1-Supuestos!$C$45)+X12+X15</f>
        <v/>
      </c>
      <c r="Y17" s="38">
        <f>X17*(1-Supuestos!$C$45)+Y12+Y15</f>
        <v/>
      </c>
      <c r="Z17" s="38">
        <f>Y17*(1-Supuestos!$C$45)+Z12+Z15</f>
        <v/>
      </c>
    </row>
    <row r="18">
      <c r="A18" s="5" t="inlineStr">
        <is>
          <t>Total médicos activos</t>
        </is>
      </c>
      <c r="B18" s="2" t="n"/>
      <c r="C18" s="38">
        <f>C14+C16+C17</f>
        <v/>
      </c>
      <c r="D18" s="38">
        <f>D14+D16+D17</f>
        <v/>
      </c>
      <c r="E18" s="38">
        <f>E14+E16+E17</f>
        <v/>
      </c>
      <c r="F18" s="38">
        <f>F14+F16+F17</f>
        <v/>
      </c>
      <c r="G18" s="38">
        <f>G14+G16+G17</f>
        <v/>
      </c>
      <c r="H18" s="38">
        <f>H14+H16+H17</f>
        <v/>
      </c>
      <c r="I18" s="38">
        <f>I14+I16+I17</f>
        <v/>
      </c>
      <c r="J18" s="38">
        <f>J14+J16+J17</f>
        <v/>
      </c>
      <c r="K18" s="38">
        <f>K14+K16+K17</f>
        <v/>
      </c>
      <c r="L18" s="38">
        <f>L14+L16+L17</f>
        <v/>
      </c>
      <c r="M18" s="38">
        <f>M14+M16+M17</f>
        <v/>
      </c>
      <c r="N18" s="38">
        <f>N14+N16+N17</f>
        <v/>
      </c>
      <c r="O18" s="38">
        <f>O14+O16+O17</f>
        <v/>
      </c>
      <c r="P18" s="38">
        <f>P14+P16+P17</f>
        <v/>
      </c>
      <c r="Q18" s="38">
        <f>Q14+Q16+Q17</f>
        <v/>
      </c>
      <c r="R18" s="38">
        <f>R14+R16+R17</f>
        <v/>
      </c>
      <c r="S18" s="38">
        <f>S14+S16+S17</f>
        <v/>
      </c>
      <c r="T18" s="38">
        <f>T14+T16+T17</f>
        <v/>
      </c>
      <c r="U18" s="38">
        <f>U14+U16+U17</f>
        <v/>
      </c>
      <c r="V18" s="38">
        <f>V14+V16+V17</f>
        <v/>
      </c>
      <c r="W18" s="38">
        <f>W14+W16+W17</f>
        <v/>
      </c>
      <c r="X18" s="38">
        <f>X14+X16+X17</f>
        <v/>
      </c>
      <c r="Y18" s="38">
        <f>Y14+Y16+Y17</f>
        <v/>
      </c>
      <c r="Z18" s="38">
        <f>Z14+Z16+Z17</f>
        <v/>
      </c>
    </row>
    <row r="19">
      <c r="A19" s="5" t="inlineStr">
        <is>
          <t>Médicos usando el portal clínico</t>
        </is>
      </c>
      <c r="B19" s="2" t="n"/>
      <c r="C19" s="38">
        <f>C17+C14*C5</f>
        <v/>
      </c>
      <c r="D19" s="38">
        <f>D17+D14*D5</f>
        <v/>
      </c>
      <c r="E19" s="38">
        <f>E17+E14*E5</f>
        <v/>
      </c>
      <c r="F19" s="38">
        <f>F17+F14*F5</f>
        <v/>
      </c>
      <c r="G19" s="38">
        <f>G17+G14*G5</f>
        <v/>
      </c>
      <c r="H19" s="38">
        <f>H17+H14*H5</f>
        <v/>
      </c>
      <c r="I19" s="38">
        <f>I17+I14*I5</f>
        <v/>
      </c>
      <c r="J19" s="38">
        <f>J17+J14*J5</f>
        <v/>
      </c>
      <c r="K19" s="38">
        <f>K17+K14*K5</f>
        <v/>
      </c>
      <c r="L19" s="38">
        <f>L17+L14*L5</f>
        <v/>
      </c>
      <c r="M19" s="38">
        <f>M17+M14*M5</f>
        <v/>
      </c>
      <c r="N19" s="38">
        <f>N17+N14*N5</f>
        <v/>
      </c>
      <c r="O19" s="38">
        <f>O17+O14*O5</f>
        <v/>
      </c>
      <c r="P19" s="38">
        <f>P17+P14*P5</f>
        <v/>
      </c>
      <c r="Q19" s="38">
        <f>Q17+Q14*Q5</f>
        <v/>
      </c>
      <c r="R19" s="38">
        <f>R17+R14*R5</f>
        <v/>
      </c>
      <c r="S19" s="38">
        <f>S17+S14*S5</f>
        <v/>
      </c>
      <c r="T19" s="38">
        <f>T17+T14*T5</f>
        <v/>
      </c>
      <c r="U19" s="38">
        <f>U17+U14*U5</f>
        <v/>
      </c>
      <c r="V19" s="38">
        <f>V17+V14*V5</f>
        <v/>
      </c>
      <c r="W19" s="38">
        <f>W17+W14*W5</f>
        <v/>
      </c>
      <c r="X19" s="38">
        <f>X17+X14*X5</f>
        <v/>
      </c>
      <c r="Y19" s="38">
        <f>Y17+Y14*Y5</f>
        <v/>
      </c>
      <c r="Z19" s="38">
        <f>Z17+Z14*Z5</f>
        <v/>
      </c>
    </row>
    <row r="20">
      <c r="A20" s="5" t="inlineStr">
        <is>
          <t>Médicos usando solo Red</t>
        </is>
      </c>
      <c r="B20" s="2" t="n"/>
      <c r="C20" s="38">
        <f>C18-C19</f>
        <v/>
      </c>
      <c r="D20" s="38">
        <f>D18-D19</f>
        <v/>
      </c>
      <c r="E20" s="38">
        <f>E18-E19</f>
        <v/>
      </c>
      <c r="F20" s="38">
        <f>F18-F19</f>
        <v/>
      </c>
      <c r="G20" s="38">
        <f>G18-G19</f>
        <v/>
      </c>
      <c r="H20" s="38">
        <f>H18-H19</f>
        <v/>
      </c>
      <c r="I20" s="38">
        <f>I18-I19</f>
        <v/>
      </c>
      <c r="J20" s="38">
        <f>J18-J19</f>
        <v/>
      </c>
      <c r="K20" s="38">
        <f>K18-K19</f>
        <v/>
      </c>
      <c r="L20" s="38">
        <f>L18-L19</f>
        <v/>
      </c>
      <c r="M20" s="38">
        <f>M18-M19</f>
        <v/>
      </c>
      <c r="N20" s="38">
        <f>N18-N19</f>
        <v/>
      </c>
      <c r="O20" s="38">
        <f>O18-O19</f>
        <v/>
      </c>
      <c r="P20" s="38">
        <f>P18-P19</f>
        <v/>
      </c>
      <c r="Q20" s="38">
        <f>Q18-Q19</f>
        <v/>
      </c>
      <c r="R20" s="38">
        <f>R18-R19</f>
        <v/>
      </c>
      <c r="S20" s="38">
        <f>S18-S19</f>
        <v/>
      </c>
      <c r="T20" s="38">
        <f>T18-T19</f>
        <v/>
      </c>
      <c r="U20" s="38">
        <f>U18-U19</f>
        <v/>
      </c>
      <c r="V20" s="38">
        <f>V18-V19</f>
        <v/>
      </c>
      <c r="W20" s="38">
        <f>W18-W19</f>
        <v/>
      </c>
      <c r="X20" s="38">
        <f>X18-X19</f>
        <v/>
      </c>
      <c r="Y20" s="38">
        <f>Y18-Y19</f>
        <v/>
      </c>
      <c r="Z20" s="38">
        <f>Z18-Z19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35" t="inlineStr">
        <is>
          <t>INGRESOS</t>
        </is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>
      <c r="A23" s="5" t="inlineStr">
        <is>
          <t>Fundadores</t>
        </is>
      </c>
      <c r="B23" s="2" t="n"/>
      <c r="C23" s="12">
        <f>C14*IF(C5=1,Supuestos!$B$8,Supuestos!$B$7)/(1+Supuestos!$B$10)</f>
        <v/>
      </c>
      <c r="D23" s="12">
        <f>D14*IF(D5=1,Supuestos!$B$8,Supuestos!$B$7)/(1+Supuestos!$B$10)</f>
        <v/>
      </c>
      <c r="E23" s="12">
        <f>E14*IF(E5=1,Supuestos!$B$8,Supuestos!$B$7)/(1+Supuestos!$B$10)</f>
        <v/>
      </c>
      <c r="F23" s="12">
        <f>F14*IF(F5=1,Supuestos!$B$8,Supuestos!$B$7)/(1+Supuestos!$B$10)</f>
        <v/>
      </c>
      <c r="G23" s="12">
        <f>G14*IF(G5=1,Supuestos!$B$8,Supuestos!$B$7)/(1+Supuestos!$B$10)</f>
        <v/>
      </c>
      <c r="H23" s="12">
        <f>H14*IF(H5=1,Supuestos!$B$8,Supuestos!$B$7)/(1+Supuestos!$B$10)</f>
        <v/>
      </c>
      <c r="I23" s="12">
        <f>I14*IF(I5=1,Supuestos!$B$8,Supuestos!$B$7)/(1+Supuestos!$B$10)</f>
        <v/>
      </c>
      <c r="J23" s="12">
        <f>J14*IF(J5=1,Supuestos!$B$8,Supuestos!$B$7)/(1+Supuestos!$B$10)</f>
        <v/>
      </c>
      <c r="K23" s="12">
        <f>K14*IF(K5=1,Supuestos!$B$8,Supuestos!$B$7)/(1+Supuestos!$B$10)</f>
        <v/>
      </c>
      <c r="L23" s="12">
        <f>L14*IF(L5=1,Supuestos!$B$8,Supuestos!$B$7)/(1+Supuestos!$B$10)</f>
        <v/>
      </c>
      <c r="M23" s="12">
        <f>M14*IF(M5=1,Supuestos!$B$8,Supuestos!$B$7)/(1+Supuestos!$B$10)</f>
        <v/>
      </c>
      <c r="N23" s="12">
        <f>N14*IF(N5=1,Supuestos!$B$8,Supuestos!$B$7)/(1+Supuestos!$B$10)</f>
        <v/>
      </c>
      <c r="O23" s="12">
        <f>O14*IF(O5=1,Supuestos!$B$8,Supuestos!$B$7)/(1+Supuestos!$B$10)</f>
        <v/>
      </c>
      <c r="P23" s="12">
        <f>P14*IF(P5=1,Supuestos!$B$8,Supuestos!$B$7)/(1+Supuestos!$B$10)</f>
        <v/>
      </c>
      <c r="Q23" s="12">
        <f>Q14*IF(Q5=1,Supuestos!$B$8,Supuestos!$B$7)/(1+Supuestos!$B$10)</f>
        <v/>
      </c>
      <c r="R23" s="12">
        <f>R14*IF(R5=1,Supuestos!$B$8,Supuestos!$B$7)/(1+Supuestos!$B$10)</f>
        <v/>
      </c>
      <c r="S23" s="12">
        <f>S14*IF(S5=1,Supuestos!$B$8,Supuestos!$B$7)/(1+Supuestos!$B$10)</f>
        <v/>
      </c>
      <c r="T23" s="12">
        <f>T14*IF(T5=1,Supuestos!$B$8,Supuestos!$B$7)/(1+Supuestos!$B$10)</f>
        <v/>
      </c>
      <c r="U23" s="12">
        <f>U14*IF(U5=1,Supuestos!$B$8,Supuestos!$B$7)/(1+Supuestos!$B$10)</f>
        <v/>
      </c>
      <c r="V23" s="12">
        <f>V14*IF(V5=1,Supuestos!$B$8,Supuestos!$B$7)/(1+Supuestos!$B$10)</f>
        <v/>
      </c>
      <c r="W23" s="12">
        <f>W14*IF(W5=1,Supuestos!$B$8,Supuestos!$B$7)/(1+Supuestos!$B$10)</f>
        <v/>
      </c>
      <c r="X23" s="12">
        <f>X14*IF(X5=1,Supuestos!$B$8,Supuestos!$B$7)/(1+Supuestos!$B$10)</f>
        <v/>
      </c>
      <c r="Y23" s="12">
        <f>Y14*IF(Y5=1,Supuestos!$B$8,Supuestos!$B$7)/(1+Supuestos!$B$10)</f>
        <v/>
      </c>
      <c r="Z23" s="12">
        <f>Z14*IF(Z5=1,Supuestos!$B$8,Supuestos!$B$7)/(1+Supuestos!$B$10)</f>
        <v/>
      </c>
    </row>
    <row r="24">
      <c r="A24" s="5" t="inlineStr">
        <is>
          <t>Plan Red</t>
        </is>
      </c>
      <c r="B24" s="2" t="n"/>
      <c r="C24" s="12">
        <f>C16*Supuestos!$B$5/(1+Supuestos!$B$10)</f>
        <v/>
      </c>
      <c r="D24" s="12">
        <f>D16*Supuestos!$B$5/(1+Supuestos!$B$10)</f>
        <v/>
      </c>
      <c r="E24" s="12">
        <f>E16*Supuestos!$B$5/(1+Supuestos!$B$10)</f>
        <v/>
      </c>
      <c r="F24" s="12">
        <f>F16*Supuestos!$B$5/(1+Supuestos!$B$10)</f>
        <v/>
      </c>
      <c r="G24" s="12">
        <f>G16*Supuestos!$B$5/(1+Supuestos!$B$10)</f>
        <v/>
      </c>
      <c r="H24" s="12">
        <f>H16*Supuestos!$B$5/(1+Supuestos!$B$10)</f>
        <v/>
      </c>
      <c r="I24" s="12">
        <f>I16*Supuestos!$B$5/(1+Supuestos!$B$10)</f>
        <v/>
      </c>
      <c r="J24" s="12">
        <f>J16*Supuestos!$B$5/(1+Supuestos!$B$10)</f>
        <v/>
      </c>
      <c r="K24" s="12">
        <f>K16*Supuestos!$B$5/(1+Supuestos!$B$10)</f>
        <v/>
      </c>
      <c r="L24" s="12">
        <f>L16*Supuestos!$B$5/(1+Supuestos!$B$10)</f>
        <v/>
      </c>
      <c r="M24" s="12">
        <f>M16*Supuestos!$B$5/(1+Supuestos!$B$10)</f>
        <v/>
      </c>
      <c r="N24" s="12">
        <f>N16*Supuestos!$B$5/(1+Supuestos!$B$10)</f>
        <v/>
      </c>
      <c r="O24" s="12">
        <f>O16*Supuestos!$B$5/(1+Supuestos!$B$10)</f>
        <v/>
      </c>
      <c r="P24" s="12">
        <f>P16*Supuestos!$B$5/(1+Supuestos!$B$10)</f>
        <v/>
      </c>
      <c r="Q24" s="12">
        <f>Q16*Supuestos!$B$5/(1+Supuestos!$B$10)</f>
        <v/>
      </c>
      <c r="R24" s="12">
        <f>R16*Supuestos!$B$5/(1+Supuestos!$B$10)</f>
        <v/>
      </c>
      <c r="S24" s="12">
        <f>S16*Supuestos!$B$5/(1+Supuestos!$B$10)</f>
        <v/>
      </c>
      <c r="T24" s="12">
        <f>T16*Supuestos!$B$5/(1+Supuestos!$B$10)</f>
        <v/>
      </c>
      <c r="U24" s="12">
        <f>U16*Supuestos!$B$5/(1+Supuestos!$B$10)</f>
        <v/>
      </c>
      <c r="V24" s="12">
        <f>V16*Supuestos!$B$5/(1+Supuestos!$B$10)</f>
        <v/>
      </c>
      <c r="W24" s="12">
        <f>W16*Supuestos!$B$5/(1+Supuestos!$B$10)</f>
        <v/>
      </c>
      <c r="X24" s="12">
        <f>X16*Supuestos!$B$5/(1+Supuestos!$B$10)</f>
        <v/>
      </c>
      <c r="Y24" s="12">
        <f>Y16*Supuestos!$B$5/(1+Supuestos!$B$10)</f>
        <v/>
      </c>
      <c r="Z24" s="12">
        <f>Z16*Supuestos!$B$5/(1+Supuestos!$B$10)</f>
        <v/>
      </c>
    </row>
    <row r="25">
      <c r="A25" s="5" t="inlineStr">
        <is>
          <t>Plan Clínico</t>
        </is>
      </c>
      <c r="B25" s="2" t="n"/>
      <c r="C25" s="12">
        <f>C17*Supuestos!$B$6/(1+Supuestos!$B$10)</f>
        <v/>
      </c>
      <c r="D25" s="12">
        <f>D17*Supuestos!$B$6/(1+Supuestos!$B$10)</f>
        <v/>
      </c>
      <c r="E25" s="12">
        <f>E17*Supuestos!$B$6/(1+Supuestos!$B$10)</f>
        <v/>
      </c>
      <c r="F25" s="12">
        <f>F17*Supuestos!$B$6/(1+Supuestos!$B$10)</f>
        <v/>
      </c>
      <c r="G25" s="12">
        <f>G17*Supuestos!$B$6/(1+Supuestos!$B$10)</f>
        <v/>
      </c>
      <c r="H25" s="12">
        <f>H17*Supuestos!$B$6/(1+Supuestos!$B$10)</f>
        <v/>
      </c>
      <c r="I25" s="12">
        <f>I17*Supuestos!$B$6/(1+Supuestos!$B$10)</f>
        <v/>
      </c>
      <c r="J25" s="12">
        <f>J17*Supuestos!$B$6/(1+Supuestos!$B$10)</f>
        <v/>
      </c>
      <c r="K25" s="12">
        <f>K17*Supuestos!$B$6/(1+Supuestos!$B$10)</f>
        <v/>
      </c>
      <c r="L25" s="12">
        <f>L17*Supuestos!$B$6/(1+Supuestos!$B$10)</f>
        <v/>
      </c>
      <c r="M25" s="12">
        <f>M17*Supuestos!$B$6/(1+Supuestos!$B$10)</f>
        <v/>
      </c>
      <c r="N25" s="12">
        <f>N17*Supuestos!$B$6/(1+Supuestos!$B$10)</f>
        <v/>
      </c>
      <c r="O25" s="12">
        <f>O17*Supuestos!$B$6/(1+Supuestos!$B$10)</f>
        <v/>
      </c>
      <c r="P25" s="12">
        <f>P17*Supuestos!$B$6/(1+Supuestos!$B$10)</f>
        <v/>
      </c>
      <c r="Q25" s="12">
        <f>Q17*Supuestos!$B$6/(1+Supuestos!$B$10)</f>
        <v/>
      </c>
      <c r="R25" s="12">
        <f>R17*Supuestos!$B$6/(1+Supuestos!$B$10)</f>
        <v/>
      </c>
      <c r="S25" s="12">
        <f>S17*Supuestos!$B$6/(1+Supuestos!$B$10)</f>
        <v/>
      </c>
      <c r="T25" s="12">
        <f>T17*Supuestos!$B$6/(1+Supuestos!$B$10)</f>
        <v/>
      </c>
      <c r="U25" s="12">
        <f>U17*Supuestos!$B$6/(1+Supuestos!$B$10)</f>
        <v/>
      </c>
      <c r="V25" s="12">
        <f>V17*Supuestos!$B$6/(1+Supuestos!$B$10)</f>
        <v/>
      </c>
      <c r="W25" s="12">
        <f>W17*Supuestos!$B$6/(1+Supuestos!$B$10)</f>
        <v/>
      </c>
      <c r="X25" s="12">
        <f>X17*Supuestos!$B$6/(1+Supuestos!$B$10)</f>
        <v/>
      </c>
      <c r="Y25" s="12">
        <f>Y17*Supuestos!$B$6/(1+Supuestos!$B$10)</f>
        <v/>
      </c>
      <c r="Z25" s="12">
        <f>Z17*Supuestos!$B$6/(1+Supuestos!$B$10)</f>
        <v/>
      </c>
    </row>
    <row r="26">
      <c r="A26" s="39" t="inlineStr">
        <is>
          <t>Ingreso recurrente mensual (MRR)</t>
        </is>
      </c>
      <c r="B26" s="40" t="n"/>
      <c r="C26" s="41">
        <f>C23+C24+C25</f>
        <v/>
      </c>
      <c r="D26" s="41">
        <f>D23+D24+D25</f>
        <v/>
      </c>
      <c r="E26" s="41">
        <f>E23+E24+E25</f>
        <v/>
      </c>
      <c r="F26" s="41">
        <f>F23+F24+F25</f>
        <v/>
      </c>
      <c r="G26" s="41">
        <f>G23+G24+G25</f>
        <v/>
      </c>
      <c r="H26" s="41">
        <f>H23+H24+H25</f>
        <v/>
      </c>
      <c r="I26" s="41">
        <f>I23+I24+I25</f>
        <v/>
      </c>
      <c r="J26" s="41">
        <f>J23+J24+J25</f>
        <v/>
      </c>
      <c r="K26" s="41">
        <f>K23+K24+K25</f>
        <v/>
      </c>
      <c r="L26" s="41">
        <f>L23+L24+L25</f>
        <v/>
      </c>
      <c r="M26" s="41">
        <f>M23+M24+M25</f>
        <v/>
      </c>
      <c r="N26" s="41">
        <f>N23+N24+N25</f>
        <v/>
      </c>
      <c r="O26" s="41">
        <f>O23+O24+O25</f>
        <v/>
      </c>
      <c r="P26" s="41">
        <f>P23+P24+P25</f>
        <v/>
      </c>
      <c r="Q26" s="41">
        <f>Q23+Q24+Q25</f>
        <v/>
      </c>
      <c r="R26" s="41">
        <f>R23+R24+R25</f>
        <v/>
      </c>
      <c r="S26" s="41">
        <f>S23+S24+S25</f>
        <v/>
      </c>
      <c r="T26" s="41">
        <f>T23+T24+T25</f>
        <v/>
      </c>
      <c r="U26" s="41">
        <f>U23+U24+U25</f>
        <v/>
      </c>
      <c r="V26" s="41">
        <f>V23+V24+V25</f>
        <v/>
      </c>
      <c r="W26" s="41">
        <f>W23+W24+W25</f>
        <v/>
      </c>
      <c r="X26" s="41">
        <f>X23+X24+X25</f>
        <v/>
      </c>
      <c r="Y26" s="41">
        <f>Y23+Y24+Y25</f>
        <v/>
      </c>
      <c r="Z26" s="41">
        <f>Z23+Z24+Z25</f>
        <v/>
      </c>
    </row>
    <row r="27">
      <c r="A27" s="5" t="inlineStr">
        <is>
          <t>Migraciones vendidas</t>
        </is>
      </c>
      <c r="B27" s="2" t="n"/>
      <c r="C27" s="38">
        <f>(C12+C15)*Supuestos!$C$48</f>
        <v/>
      </c>
      <c r="D27" s="38">
        <f>(D12+D15)*Supuestos!$C$48</f>
        <v/>
      </c>
      <c r="E27" s="38">
        <f>(E12+E15)*Supuestos!$C$48</f>
        <v/>
      </c>
      <c r="F27" s="38">
        <f>(F12+F15)*Supuestos!$C$48</f>
        <v/>
      </c>
      <c r="G27" s="38">
        <f>(G12+G15)*Supuestos!$C$48</f>
        <v/>
      </c>
      <c r="H27" s="38">
        <f>(H12+H15)*Supuestos!$C$48</f>
        <v/>
      </c>
      <c r="I27" s="38">
        <f>(I12+I15)*Supuestos!$C$48</f>
        <v/>
      </c>
      <c r="J27" s="38">
        <f>(J12+J15)*Supuestos!$C$48</f>
        <v/>
      </c>
      <c r="K27" s="38">
        <f>(K12+K15)*Supuestos!$C$48</f>
        <v/>
      </c>
      <c r="L27" s="38">
        <f>(L12+L15)*Supuestos!$C$48</f>
        <v/>
      </c>
      <c r="M27" s="38">
        <f>(M12+M15)*Supuestos!$C$48</f>
        <v/>
      </c>
      <c r="N27" s="38">
        <f>(N12+N15)*Supuestos!$C$48</f>
        <v/>
      </c>
      <c r="O27" s="38">
        <f>(O12+O15)*Supuestos!$C$48</f>
        <v/>
      </c>
      <c r="P27" s="38">
        <f>(P12+P15)*Supuestos!$C$48</f>
        <v/>
      </c>
      <c r="Q27" s="38">
        <f>(Q12+Q15)*Supuestos!$C$48</f>
        <v/>
      </c>
      <c r="R27" s="38">
        <f>(R12+R15)*Supuestos!$C$48</f>
        <v/>
      </c>
      <c r="S27" s="38">
        <f>(S12+S15)*Supuestos!$C$48</f>
        <v/>
      </c>
      <c r="T27" s="38">
        <f>(T12+T15)*Supuestos!$C$48</f>
        <v/>
      </c>
      <c r="U27" s="38">
        <f>(U12+U15)*Supuestos!$C$48</f>
        <v/>
      </c>
      <c r="V27" s="38">
        <f>(V12+V15)*Supuestos!$C$48</f>
        <v/>
      </c>
      <c r="W27" s="38">
        <f>(W12+W15)*Supuestos!$C$48</f>
        <v/>
      </c>
      <c r="X27" s="38">
        <f>(X12+X15)*Supuestos!$C$48</f>
        <v/>
      </c>
      <c r="Y27" s="38">
        <f>(Y12+Y15)*Supuestos!$C$48</f>
        <v/>
      </c>
      <c r="Z27" s="38">
        <f>(Z12+Z15)*Supuestos!$C$48</f>
        <v/>
      </c>
    </row>
    <row r="28">
      <c r="A28" s="5" t="inlineStr">
        <is>
          <t>Ingreso por migraciones</t>
        </is>
      </c>
      <c r="B28" s="2" t="n"/>
      <c r="C28" s="12">
        <f>C27*Supuestos!$B$37*Supuestos!$B$11/(1+Supuestos!$B$10)</f>
        <v/>
      </c>
      <c r="D28" s="12">
        <f>D27*Supuestos!$B$37*Supuestos!$B$11/(1+Supuestos!$B$10)</f>
        <v/>
      </c>
      <c r="E28" s="12">
        <f>E27*Supuestos!$B$37*Supuestos!$B$11/(1+Supuestos!$B$10)</f>
        <v/>
      </c>
      <c r="F28" s="12">
        <f>F27*Supuestos!$B$37*Supuestos!$B$11/(1+Supuestos!$B$10)</f>
        <v/>
      </c>
      <c r="G28" s="12">
        <f>G27*Supuestos!$B$37*Supuestos!$B$11/(1+Supuestos!$B$10)</f>
        <v/>
      </c>
      <c r="H28" s="12">
        <f>H27*Supuestos!$B$37*Supuestos!$B$11/(1+Supuestos!$B$10)</f>
        <v/>
      </c>
      <c r="I28" s="12">
        <f>I27*Supuestos!$B$37*Supuestos!$B$11/(1+Supuestos!$B$10)</f>
        <v/>
      </c>
      <c r="J28" s="12">
        <f>J27*Supuestos!$B$37*Supuestos!$B$11/(1+Supuestos!$B$10)</f>
        <v/>
      </c>
      <c r="K28" s="12">
        <f>K27*Supuestos!$B$37*Supuestos!$B$11/(1+Supuestos!$B$10)</f>
        <v/>
      </c>
      <c r="L28" s="12">
        <f>L27*Supuestos!$B$37*Supuestos!$B$11/(1+Supuestos!$B$10)</f>
        <v/>
      </c>
      <c r="M28" s="12">
        <f>M27*Supuestos!$B$37*Supuestos!$B$11/(1+Supuestos!$B$10)</f>
        <v/>
      </c>
      <c r="N28" s="12">
        <f>N27*Supuestos!$B$37*Supuestos!$B$11/(1+Supuestos!$B$10)</f>
        <v/>
      </c>
      <c r="O28" s="12">
        <f>O27*Supuestos!$B$37*Supuestos!$B$11/(1+Supuestos!$B$10)</f>
        <v/>
      </c>
      <c r="P28" s="12">
        <f>P27*Supuestos!$B$37*Supuestos!$B$11/(1+Supuestos!$B$10)</f>
        <v/>
      </c>
      <c r="Q28" s="12">
        <f>Q27*Supuestos!$B$37*Supuestos!$B$11/(1+Supuestos!$B$10)</f>
        <v/>
      </c>
      <c r="R28" s="12">
        <f>R27*Supuestos!$B$37*Supuestos!$B$11/(1+Supuestos!$B$10)</f>
        <v/>
      </c>
      <c r="S28" s="12">
        <f>S27*Supuestos!$B$37*Supuestos!$B$11/(1+Supuestos!$B$10)</f>
        <v/>
      </c>
      <c r="T28" s="12">
        <f>T27*Supuestos!$B$37*Supuestos!$B$11/(1+Supuestos!$B$10)</f>
        <v/>
      </c>
      <c r="U28" s="12">
        <f>U27*Supuestos!$B$37*Supuestos!$B$11/(1+Supuestos!$B$10)</f>
        <v/>
      </c>
      <c r="V28" s="12">
        <f>V27*Supuestos!$B$37*Supuestos!$B$11/(1+Supuestos!$B$10)</f>
        <v/>
      </c>
      <c r="W28" s="12">
        <f>W27*Supuestos!$B$37*Supuestos!$B$11/(1+Supuestos!$B$10)</f>
        <v/>
      </c>
      <c r="X28" s="12">
        <f>X27*Supuestos!$B$37*Supuestos!$B$11/(1+Supuestos!$B$10)</f>
        <v/>
      </c>
      <c r="Y28" s="12">
        <f>Y27*Supuestos!$B$37*Supuestos!$B$11/(1+Supuestos!$B$10)</f>
        <v/>
      </c>
      <c r="Z28" s="12">
        <f>Z27*Supuestos!$B$37*Supuestos!$B$11/(1+Supuestos!$B$10)</f>
        <v/>
      </c>
    </row>
    <row r="29">
      <c r="A29" s="39" t="inlineStr">
        <is>
          <t>INGRESO TOTAL</t>
        </is>
      </c>
      <c r="B29" s="40" t="n"/>
      <c r="C29" s="41">
        <f>C26+C28</f>
        <v/>
      </c>
      <c r="D29" s="41">
        <f>D26+D28</f>
        <v/>
      </c>
      <c r="E29" s="41">
        <f>E26+E28</f>
        <v/>
      </c>
      <c r="F29" s="41">
        <f>F26+F28</f>
        <v/>
      </c>
      <c r="G29" s="41">
        <f>G26+G28</f>
        <v/>
      </c>
      <c r="H29" s="41">
        <f>H26+H28</f>
        <v/>
      </c>
      <c r="I29" s="41">
        <f>I26+I28</f>
        <v/>
      </c>
      <c r="J29" s="41">
        <f>J26+J28</f>
        <v/>
      </c>
      <c r="K29" s="41">
        <f>K26+K28</f>
        <v/>
      </c>
      <c r="L29" s="41">
        <f>L26+L28</f>
        <v/>
      </c>
      <c r="M29" s="41">
        <f>M26+M28</f>
        <v/>
      </c>
      <c r="N29" s="41">
        <f>N26+N28</f>
        <v/>
      </c>
      <c r="O29" s="41">
        <f>O26+O28</f>
        <v/>
      </c>
      <c r="P29" s="41">
        <f>P26+P28</f>
        <v/>
      </c>
      <c r="Q29" s="41">
        <f>Q26+Q28</f>
        <v/>
      </c>
      <c r="R29" s="41">
        <f>R26+R28</f>
        <v/>
      </c>
      <c r="S29" s="41">
        <f>S26+S28</f>
        <v/>
      </c>
      <c r="T29" s="41">
        <f>T26+T28</f>
        <v/>
      </c>
      <c r="U29" s="41">
        <f>U26+U28</f>
        <v/>
      </c>
      <c r="V29" s="41">
        <f>V26+V28</f>
        <v/>
      </c>
      <c r="W29" s="41">
        <f>W26+W28</f>
        <v/>
      </c>
      <c r="X29" s="41">
        <f>X26+X28</f>
        <v/>
      </c>
      <c r="Y29" s="41">
        <f>Y26+Y28</f>
        <v/>
      </c>
      <c r="Z29" s="41">
        <f>Z26+Z28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35" t="inlineStr">
        <is>
          <t>COSTOS VARIABLES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>
      <c r="A32" s="5" t="inlineStr">
        <is>
          <t>IA (NOVA) + almacenamiento</t>
        </is>
      </c>
      <c r="B32" s="2" t="n"/>
      <c r="C32" s="12">
        <f>(C20*Supuestos!$B$17+C19*(Supuestos!$B$18+Supuestos!$B$19))*Supuestos!$B$14</f>
        <v/>
      </c>
      <c r="D32" s="12">
        <f>(D20*Supuestos!$B$17+D19*(Supuestos!$B$18+Supuestos!$B$19))*Supuestos!$B$14</f>
        <v/>
      </c>
      <c r="E32" s="12">
        <f>(E20*Supuestos!$B$17+E19*(Supuestos!$B$18+Supuestos!$B$19))*Supuestos!$B$14</f>
        <v/>
      </c>
      <c r="F32" s="12">
        <f>(F20*Supuestos!$B$17+F19*(Supuestos!$B$18+Supuestos!$B$19))*Supuestos!$B$14</f>
        <v/>
      </c>
      <c r="G32" s="12">
        <f>(G20*Supuestos!$B$17+G19*(Supuestos!$B$18+Supuestos!$B$19))*Supuestos!$B$14</f>
        <v/>
      </c>
      <c r="H32" s="12">
        <f>(H20*Supuestos!$B$17+H19*(Supuestos!$B$18+Supuestos!$B$19))*Supuestos!$B$14</f>
        <v/>
      </c>
      <c r="I32" s="12">
        <f>(I20*Supuestos!$B$17+I19*(Supuestos!$B$18+Supuestos!$B$19))*Supuestos!$B$14</f>
        <v/>
      </c>
      <c r="J32" s="12">
        <f>(J20*Supuestos!$B$17+J19*(Supuestos!$B$18+Supuestos!$B$19))*Supuestos!$B$14</f>
        <v/>
      </c>
      <c r="K32" s="12">
        <f>(K20*Supuestos!$B$17+K19*(Supuestos!$B$18+Supuestos!$B$19))*Supuestos!$B$14</f>
        <v/>
      </c>
      <c r="L32" s="12">
        <f>(L20*Supuestos!$B$17+L19*(Supuestos!$B$18+Supuestos!$B$19))*Supuestos!$B$14</f>
        <v/>
      </c>
      <c r="M32" s="12">
        <f>(M20*Supuestos!$B$17+M19*(Supuestos!$B$18+Supuestos!$B$19))*Supuestos!$B$14</f>
        <v/>
      </c>
      <c r="N32" s="12">
        <f>(N20*Supuestos!$B$17+N19*(Supuestos!$B$18+Supuestos!$B$19))*Supuestos!$B$14</f>
        <v/>
      </c>
      <c r="O32" s="12">
        <f>(O20*Supuestos!$B$17+O19*(Supuestos!$B$18+Supuestos!$B$19))*Supuestos!$B$14</f>
        <v/>
      </c>
      <c r="P32" s="12">
        <f>(P20*Supuestos!$B$17+P19*(Supuestos!$B$18+Supuestos!$B$19))*Supuestos!$B$14</f>
        <v/>
      </c>
      <c r="Q32" s="12">
        <f>(Q20*Supuestos!$B$17+Q19*(Supuestos!$B$18+Supuestos!$B$19))*Supuestos!$B$14</f>
        <v/>
      </c>
      <c r="R32" s="12">
        <f>(R20*Supuestos!$B$17+R19*(Supuestos!$B$18+Supuestos!$B$19))*Supuestos!$B$14</f>
        <v/>
      </c>
      <c r="S32" s="12">
        <f>(S20*Supuestos!$B$17+S19*(Supuestos!$B$18+Supuestos!$B$19))*Supuestos!$B$14</f>
        <v/>
      </c>
      <c r="T32" s="12">
        <f>(T20*Supuestos!$B$17+T19*(Supuestos!$B$18+Supuestos!$B$19))*Supuestos!$B$14</f>
        <v/>
      </c>
      <c r="U32" s="12">
        <f>(U20*Supuestos!$B$17+U19*(Supuestos!$B$18+Supuestos!$B$19))*Supuestos!$B$14</f>
        <v/>
      </c>
      <c r="V32" s="12">
        <f>(V20*Supuestos!$B$17+V19*(Supuestos!$B$18+Supuestos!$B$19))*Supuestos!$B$14</f>
        <v/>
      </c>
      <c r="W32" s="12">
        <f>(W20*Supuestos!$B$17+W19*(Supuestos!$B$18+Supuestos!$B$19))*Supuestos!$B$14</f>
        <v/>
      </c>
      <c r="X32" s="12">
        <f>(X20*Supuestos!$B$17+X19*(Supuestos!$B$18+Supuestos!$B$19))*Supuestos!$B$14</f>
        <v/>
      </c>
      <c r="Y32" s="12">
        <f>(Y20*Supuestos!$B$17+Y19*(Supuestos!$B$18+Supuestos!$B$19))*Supuestos!$B$14</f>
        <v/>
      </c>
      <c r="Z32" s="12">
        <f>(Z20*Supuestos!$B$17+Z19*(Supuestos!$B$18+Supuestos!$B$19))*Supuestos!$B$14</f>
        <v/>
      </c>
    </row>
    <row r="33">
      <c r="A33" s="5" t="inlineStr">
        <is>
          <t>Comisión de cobro (con IVA de la comisión)</t>
        </is>
      </c>
      <c r="B33" s="2" t="n"/>
      <c r="C33" s="12">
        <f>((C18+C27)*Supuestos!$B$23+C29*(1+Supuestos!$B$10)*Supuestos!$B$22)*(1+Supuestos!$B$10)</f>
        <v/>
      </c>
      <c r="D33" s="12">
        <f>((D18+D27)*Supuestos!$B$23+D29*(1+Supuestos!$B$10)*Supuestos!$B$22)*(1+Supuestos!$B$10)</f>
        <v/>
      </c>
      <c r="E33" s="12">
        <f>((E18+E27)*Supuestos!$B$23+E29*(1+Supuestos!$B$10)*Supuestos!$B$22)*(1+Supuestos!$B$10)</f>
        <v/>
      </c>
      <c r="F33" s="12">
        <f>((F18+F27)*Supuestos!$B$23+F29*(1+Supuestos!$B$10)*Supuestos!$B$22)*(1+Supuestos!$B$10)</f>
        <v/>
      </c>
      <c r="G33" s="12">
        <f>((G18+G27)*Supuestos!$B$23+G29*(1+Supuestos!$B$10)*Supuestos!$B$22)*(1+Supuestos!$B$10)</f>
        <v/>
      </c>
      <c r="H33" s="12">
        <f>((H18+H27)*Supuestos!$B$23+H29*(1+Supuestos!$B$10)*Supuestos!$B$22)*(1+Supuestos!$B$10)</f>
        <v/>
      </c>
      <c r="I33" s="12">
        <f>((I18+I27)*Supuestos!$B$23+I29*(1+Supuestos!$B$10)*Supuestos!$B$22)*(1+Supuestos!$B$10)</f>
        <v/>
      </c>
      <c r="J33" s="12">
        <f>((J18+J27)*Supuestos!$B$23+J29*(1+Supuestos!$B$10)*Supuestos!$B$22)*(1+Supuestos!$B$10)</f>
        <v/>
      </c>
      <c r="K33" s="12">
        <f>((K18+K27)*Supuestos!$B$23+K29*(1+Supuestos!$B$10)*Supuestos!$B$22)*(1+Supuestos!$B$10)</f>
        <v/>
      </c>
      <c r="L33" s="12">
        <f>((L18+L27)*Supuestos!$B$23+L29*(1+Supuestos!$B$10)*Supuestos!$B$22)*(1+Supuestos!$B$10)</f>
        <v/>
      </c>
      <c r="M33" s="12">
        <f>((M18+M27)*Supuestos!$B$23+M29*(1+Supuestos!$B$10)*Supuestos!$B$22)*(1+Supuestos!$B$10)</f>
        <v/>
      </c>
      <c r="N33" s="12">
        <f>((N18+N27)*Supuestos!$B$23+N29*(1+Supuestos!$B$10)*Supuestos!$B$22)*(1+Supuestos!$B$10)</f>
        <v/>
      </c>
      <c r="O33" s="12">
        <f>((O18+O27)*Supuestos!$B$23+O29*(1+Supuestos!$B$10)*Supuestos!$B$22)*(1+Supuestos!$B$10)</f>
        <v/>
      </c>
      <c r="P33" s="12">
        <f>((P18+P27)*Supuestos!$B$23+P29*(1+Supuestos!$B$10)*Supuestos!$B$22)*(1+Supuestos!$B$10)</f>
        <v/>
      </c>
      <c r="Q33" s="12">
        <f>((Q18+Q27)*Supuestos!$B$23+Q29*(1+Supuestos!$B$10)*Supuestos!$B$22)*(1+Supuestos!$B$10)</f>
        <v/>
      </c>
      <c r="R33" s="12">
        <f>((R18+R27)*Supuestos!$B$23+R29*(1+Supuestos!$B$10)*Supuestos!$B$22)*(1+Supuestos!$B$10)</f>
        <v/>
      </c>
      <c r="S33" s="12">
        <f>((S18+S27)*Supuestos!$B$23+S29*(1+Supuestos!$B$10)*Supuestos!$B$22)*(1+Supuestos!$B$10)</f>
        <v/>
      </c>
      <c r="T33" s="12">
        <f>((T18+T27)*Supuestos!$B$23+T29*(1+Supuestos!$B$10)*Supuestos!$B$22)*(1+Supuestos!$B$10)</f>
        <v/>
      </c>
      <c r="U33" s="12">
        <f>((U18+U27)*Supuestos!$B$23+U29*(1+Supuestos!$B$10)*Supuestos!$B$22)*(1+Supuestos!$B$10)</f>
        <v/>
      </c>
      <c r="V33" s="12">
        <f>((V18+V27)*Supuestos!$B$23+V29*(1+Supuestos!$B$10)*Supuestos!$B$22)*(1+Supuestos!$B$10)</f>
        <v/>
      </c>
      <c r="W33" s="12">
        <f>((W18+W27)*Supuestos!$B$23+W29*(1+Supuestos!$B$10)*Supuestos!$B$22)*(1+Supuestos!$B$10)</f>
        <v/>
      </c>
      <c r="X33" s="12">
        <f>((X18+X27)*Supuestos!$B$23+X29*(1+Supuestos!$B$10)*Supuestos!$B$22)*(1+Supuestos!$B$10)</f>
        <v/>
      </c>
      <c r="Y33" s="12">
        <f>((Y18+Y27)*Supuestos!$B$23+Y29*(1+Supuestos!$B$10)*Supuestos!$B$22)*(1+Supuestos!$B$10)</f>
        <v/>
      </c>
      <c r="Z33" s="12">
        <f>((Z18+Z27)*Supuestos!$B$23+Z29*(1+Supuestos!$B$10)*Supuestos!$B$22)*(1+Supuestos!$B$10)</f>
        <v/>
      </c>
    </row>
    <row r="34">
      <c r="A34" s="5" t="inlineStr">
        <is>
          <t>Facturas CFDI</t>
        </is>
      </c>
      <c r="B34" s="2" t="n"/>
      <c r="C34" s="12">
        <f>(C18+C27)*Supuestos!$B$24</f>
        <v/>
      </c>
      <c r="D34" s="12">
        <f>(D18+D27)*Supuestos!$B$24</f>
        <v/>
      </c>
      <c r="E34" s="12">
        <f>(E18+E27)*Supuestos!$B$24</f>
        <v/>
      </c>
      <c r="F34" s="12">
        <f>(F18+F27)*Supuestos!$B$24</f>
        <v/>
      </c>
      <c r="G34" s="12">
        <f>(G18+G27)*Supuestos!$B$24</f>
        <v/>
      </c>
      <c r="H34" s="12">
        <f>(H18+H27)*Supuestos!$B$24</f>
        <v/>
      </c>
      <c r="I34" s="12">
        <f>(I18+I27)*Supuestos!$B$24</f>
        <v/>
      </c>
      <c r="J34" s="12">
        <f>(J18+J27)*Supuestos!$B$24</f>
        <v/>
      </c>
      <c r="K34" s="12">
        <f>(K18+K27)*Supuestos!$B$24</f>
        <v/>
      </c>
      <c r="L34" s="12">
        <f>(L18+L27)*Supuestos!$B$24</f>
        <v/>
      </c>
      <c r="M34" s="12">
        <f>(M18+M27)*Supuestos!$B$24</f>
        <v/>
      </c>
      <c r="N34" s="12">
        <f>(N18+N27)*Supuestos!$B$24</f>
        <v/>
      </c>
      <c r="O34" s="12">
        <f>(O18+O27)*Supuestos!$B$24</f>
        <v/>
      </c>
      <c r="P34" s="12">
        <f>(P18+P27)*Supuestos!$B$24</f>
        <v/>
      </c>
      <c r="Q34" s="12">
        <f>(Q18+Q27)*Supuestos!$B$24</f>
        <v/>
      </c>
      <c r="R34" s="12">
        <f>(R18+R27)*Supuestos!$B$24</f>
        <v/>
      </c>
      <c r="S34" s="12">
        <f>(S18+S27)*Supuestos!$B$24</f>
        <v/>
      </c>
      <c r="T34" s="12">
        <f>(T18+T27)*Supuestos!$B$24</f>
        <v/>
      </c>
      <c r="U34" s="12">
        <f>(U18+U27)*Supuestos!$B$24</f>
        <v/>
      </c>
      <c r="V34" s="12">
        <f>(V18+V27)*Supuestos!$B$24</f>
        <v/>
      </c>
      <c r="W34" s="12">
        <f>(W18+W27)*Supuestos!$B$24</f>
        <v/>
      </c>
      <c r="X34" s="12">
        <f>(X18+X27)*Supuestos!$B$24</f>
        <v/>
      </c>
      <c r="Y34" s="12">
        <f>(Y18+Y27)*Supuestos!$B$24</f>
        <v/>
      </c>
      <c r="Z34" s="12">
        <f>(Z18+Z27)*Supuestos!$B$24</f>
        <v/>
      </c>
    </row>
    <row r="35">
      <c r="A35" s="5" t="inlineStr">
        <is>
          <t>Soporte</t>
        </is>
      </c>
      <c r="B35" s="2" t="n"/>
      <c r="C35" s="12">
        <f>C18*Supuestos!$B$28*Supuestos!$B$29</f>
        <v/>
      </c>
      <c r="D35" s="12">
        <f>D18*Supuestos!$B$28*Supuestos!$B$29</f>
        <v/>
      </c>
      <c r="E35" s="12">
        <f>E18*Supuestos!$B$28*Supuestos!$B$29</f>
        <v/>
      </c>
      <c r="F35" s="12">
        <f>F18*Supuestos!$B$28*Supuestos!$B$29</f>
        <v/>
      </c>
      <c r="G35" s="12">
        <f>G18*Supuestos!$B$28*Supuestos!$B$29</f>
        <v/>
      </c>
      <c r="H35" s="12">
        <f>H18*Supuestos!$B$28*Supuestos!$B$29</f>
        <v/>
      </c>
      <c r="I35" s="12">
        <f>I18*Supuestos!$B$28*Supuestos!$B$29</f>
        <v/>
      </c>
      <c r="J35" s="12">
        <f>J18*Supuestos!$B$28*Supuestos!$B$29</f>
        <v/>
      </c>
      <c r="K35" s="12">
        <f>K18*Supuestos!$B$28*Supuestos!$B$29</f>
        <v/>
      </c>
      <c r="L35" s="12">
        <f>L18*Supuestos!$B$28*Supuestos!$B$29</f>
        <v/>
      </c>
      <c r="M35" s="12">
        <f>M18*Supuestos!$B$28*Supuestos!$B$29</f>
        <v/>
      </c>
      <c r="N35" s="12">
        <f>N18*Supuestos!$B$28*Supuestos!$B$29</f>
        <v/>
      </c>
      <c r="O35" s="12">
        <f>O18*Supuestos!$B$28*Supuestos!$B$29</f>
        <v/>
      </c>
      <c r="P35" s="12">
        <f>P18*Supuestos!$B$28*Supuestos!$B$29</f>
        <v/>
      </c>
      <c r="Q35" s="12">
        <f>Q18*Supuestos!$B$28*Supuestos!$B$29</f>
        <v/>
      </c>
      <c r="R35" s="12">
        <f>R18*Supuestos!$B$28*Supuestos!$B$29</f>
        <v/>
      </c>
      <c r="S35" s="12">
        <f>S18*Supuestos!$B$28*Supuestos!$B$29</f>
        <v/>
      </c>
      <c r="T35" s="12">
        <f>T18*Supuestos!$B$28*Supuestos!$B$29</f>
        <v/>
      </c>
      <c r="U35" s="12">
        <f>U18*Supuestos!$B$28*Supuestos!$B$29</f>
        <v/>
      </c>
      <c r="V35" s="12">
        <f>V18*Supuestos!$B$28*Supuestos!$B$29</f>
        <v/>
      </c>
      <c r="W35" s="12">
        <f>W18*Supuestos!$B$28*Supuestos!$B$29</f>
        <v/>
      </c>
      <c r="X35" s="12">
        <f>X18*Supuestos!$B$28*Supuestos!$B$29</f>
        <v/>
      </c>
      <c r="Y35" s="12">
        <f>Y18*Supuestos!$B$28*Supuestos!$B$29</f>
        <v/>
      </c>
      <c r="Z35" s="12">
        <f>Z18*Supuestos!$B$28*Supuestos!$B$29</f>
        <v/>
      </c>
    </row>
    <row r="36">
      <c r="A36" s="5" t="inlineStr">
        <is>
          <t>Producción de migraciones</t>
        </is>
      </c>
      <c r="B36" s="2" t="n"/>
      <c r="C36" s="12">
        <f>C27*Supuestos!$B$37*Supuestos!$B$38*(Supuestos!$B$39*Supuestos!$B$14+Supuestos!$B$40/60*Supuestos!$B$41)</f>
        <v/>
      </c>
      <c r="D36" s="12">
        <f>D27*Supuestos!$B$37*Supuestos!$B$38*(Supuestos!$B$39*Supuestos!$B$14+Supuestos!$B$40/60*Supuestos!$B$41)</f>
        <v/>
      </c>
      <c r="E36" s="12">
        <f>E27*Supuestos!$B$37*Supuestos!$B$38*(Supuestos!$B$39*Supuestos!$B$14+Supuestos!$B$40/60*Supuestos!$B$41)</f>
        <v/>
      </c>
      <c r="F36" s="12">
        <f>F27*Supuestos!$B$37*Supuestos!$B$38*(Supuestos!$B$39*Supuestos!$B$14+Supuestos!$B$40/60*Supuestos!$B$41)</f>
        <v/>
      </c>
      <c r="G36" s="12">
        <f>G27*Supuestos!$B$37*Supuestos!$B$38*(Supuestos!$B$39*Supuestos!$B$14+Supuestos!$B$40/60*Supuestos!$B$41)</f>
        <v/>
      </c>
      <c r="H36" s="12">
        <f>H27*Supuestos!$B$37*Supuestos!$B$38*(Supuestos!$B$39*Supuestos!$B$14+Supuestos!$B$40/60*Supuestos!$B$41)</f>
        <v/>
      </c>
      <c r="I36" s="12">
        <f>I27*Supuestos!$B$37*Supuestos!$B$38*(Supuestos!$B$39*Supuestos!$B$14+Supuestos!$B$40/60*Supuestos!$B$41)</f>
        <v/>
      </c>
      <c r="J36" s="12">
        <f>J27*Supuestos!$B$37*Supuestos!$B$38*(Supuestos!$B$39*Supuestos!$B$14+Supuestos!$B$40/60*Supuestos!$B$41)</f>
        <v/>
      </c>
      <c r="K36" s="12">
        <f>K27*Supuestos!$B$37*Supuestos!$B$38*(Supuestos!$B$39*Supuestos!$B$14+Supuestos!$B$40/60*Supuestos!$B$41)</f>
        <v/>
      </c>
      <c r="L36" s="12">
        <f>L27*Supuestos!$B$37*Supuestos!$B$38*(Supuestos!$B$39*Supuestos!$B$14+Supuestos!$B$40/60*Supuestos!$B$41)</f>
        <v/>
      </c>
      <c r="M36" s="12">
        <f>M27*Supuestos!$B$37*Supuestos!$B$38*(Supuestos!$B$39*Supuestos!$B$14+Supuestos!$B$40/60*Supuestos!$B$41)</f>
        <v/>
      </c>
      <c r="N36" s="12">
        <f>N27*Supuestos!$B$37*Supuestos!$B$38*(Supuestos!$B$39*Supuestos!$B$14+Supuestos!$B$40/60*Supuestos!$B$41)</f>
        <v/>
      </c>
      <c r="O36" s="12">
        <f>O27*Supuestos!$B$37*Supuestos!$B$38*(Supuestos!$B$39*Supuestos!$B$14+Supuestos!$B$40/60*Supuestos!$B$41)</f>
        <v/>
      </c>
      <c r="P36" s="12">
        <f>P27*Supuestos!$B$37*Supuestos!$B$38*(Supuestos!$B$39*Supuestos!$B$14+Supuestos!$B$40/60*Supuestos!$B$41)</f>
        <v/>
      </c>
      <c r="Q36" s="12">
        <f>Q27*Supuestos!$B$37*Supuestos!$B$38*(Supuestos!$B$39*Supuestos!$B$14+Supuestos!$B$40/60*Supuestos!$B$41)</f>
        <v/>
      </c>
      <c r="R36" s="12">
        <f>R27*Supuestos!$B$37*Supuestos!$B$38*(Supuestos!$B$39*Supuestos!$B$14+Supuestos!$B$40/60*Supuestos!$B$41)</f>
        <v/>
      </c>
      <c r="S36" s="12">
        <f>S27*Supuestos!$B$37*Supuestos!$B$38*(Supuestos!$B$39*Supuestos!$B$14+Supuestos!$B$40/60*Supuestos!$B$41)</f>
        <v/>
      </c>
      <c r="T36" s="12">
        <f>T27*Supuestos!$B$37*Supuestos!$B$38*(Supuestos!$B$39*Supuestos!$B$14+Supuestos!$B$40/60*Supuestos!$B$41)</f>
        <v/>
      </c>
      <c r="U36" s="12">
        <f>U27*Supuestos!$B$37*Supuestos!$B$38*(Supuestos!$B$39*Supuestos!$B$14+Supuestos!$B$40/60*Supuestos!$B$41)</f>
        <v/>
      </c>
      <c r="V36" s="12">
        <f>V27*Supuestos!$B$37*Supuestos!$B$38*(Supuestos!$B$39*Supuestos!$B$14+Supuestos!$B$40/60*Supuestos!$B$41)</f>
        <v/>
      </c>
      <c r="W36" s="12">
        <f>W27*Supuestos!$B$37*Supuestos!$B$38*(Supuestos!$B$39*Supuestos!$B$14+Supuestos!$B$40/60*Supuestos!$B$41)</f>
        <v/>
      </c>
      <c r="X36" s="12">
        <f>X27*Supuestos!$B$37*Supuestos!$B$38*(Supuestos!$B$39*Supuestos!$B$14+Supuestos!$B$40/60*Supuestos!$B$41)</f>
        <v/>
      </c>
      <c r="Y36" s="12">
        <f>Y27*Supuestos!$B$37*Supuestos!$B$38*(Supuestos!$B$39*Supuestos!$B$14+Supuestos!$B$40/60*Supuestos!$B$41)</f>
        <v/>
      </c>
      <c r="Z36" s="12">
        <f>Z27*Supuestos!$B$37*Supuestos!$B$38*(Supuestos!$B$39*Supuestos!$B$14+Supuestos!$B$40/60*Supuestos!$B$41)</f>
        <v/>
      </c>
    </row>
    <row r="37">
      <c r="A37" s="5" t="inlineStr">
        <is>
          <t>Total costos variables</t>
        </is>
      </c>
      <c r="B37" s="2" t="n"/>
      <c r="C37" s="12">
        <f>SUM(C32:C36)</f>
        <v/>
      </c>
      <c r="D37" s="12">
        <f>SUM(D32:D36)</f>
        <v/>
      </c>
      <c r="E37" s="12">
        <f>SUM(E32:E36)</f>
        <v/>
      </c>
      <c r="F37" s="12">
        <f>SUM(F32:F36)</f>
        <v/>
      </c>
      <c r="G37" s="12">
        <f>SUM(G32:G36)</f>
        <v/>
      </c>
      <c r="H37" s="12">
        <f>SUM(H32:H36)</f>
        <v/>
      </c>
      <c r="I37" s="12">
        <f>SUM(I32:I36)</f>
        <v/>
      </c>
      <c r="J37" s="12">
        <f>SUM(J32:J36)</f>
        <v/>
      </c>
      <c r="K37" s="12">
        <f>SUM(K32:K36)</f>
        <v/>
      </c>
      <c r="L37" s="12">
        <f>SUM(L32:L36)</f>
        <v/>
      </c>
      <c r="M37" s="12">
        <f>SUM(M32:M36)</f>
        <v/>
      </c>
      <c r="N37" s="12">
        <f>SUM(N32:N36)</f>
        <v/>
      </c>
      <c r="O37" s="12">
        <f>SUM(O32:O36)</f>
        <v/>
      </c>
      <c r="P37" s="12">
        <f>SUM(P32:P36)</f>
        <v/>
      </c>
      <c r="Q37" s="12">
        <f>SUM(Q32:Q36)</f>
        <v/>
      </c>
      <c r="R37" s="12">
        <f>SUM(R32:R36)</f>
        <v/>
      </c>
      <c r="S37" s="12">
        <f>SUM(S32:S36)</f>
        <v/>
      </c>
      <c r="T37" s="12">
        <f>SUM(T32:T36)</f>
        <v/>
      </c>
      <c r="U37" s="12">
        <f>SUM(U32:U36)</f>
        <v/>
      </c>
      <c r="V37" s="12">
        <f>SUM(V32:V36)</f>
        <v/>
      </c>
      <c r="W37" s="12">
        <f>SUM(W32:W36)</f>
        <v/>
      </c>
      <c r="X37" s="12">
        <f>SUM(X32:X36)</f>
        <v/>
      </c>
      <c r="Y37" s="12">
        <f>SUM(Y32:Y36)</f>
        <v/>
      </c>
      <c r="Z37" s="12">
        <f>SUM(Z32:Z36)</f>
        <v/>
      </c>
    </row>
    <row r="38">
      <c r="A38" s="39" t="inlineStr">
        <is>
          <t>MARGEN DE CONTRIBUCIÓN</t>
        </is>
      </c>
      <c r="B38" s="40" t="n"/>
      <c r="C38" s="41">
        <f>C29-C37</f>
        <v/>
      </c>
      <c r="D38" s="41">
        <f>D29-D37</f>
        <v/>
      </c>
      <c r="E38" s="41">
        <f>E29-E37</f>
        <v/>
      </c>
      <c r="F38" s="41">
        <f>F29-F37</f>
        <v/>
      </c>
      <c r="G38" s="41">
        <f>G29-G37</f>
        <v/>
      </c>
      <c r="H38" s="41">
        <f>H29-H37</f>
        <v/>
      </c>
      <c r="I38" s="41">
        <f>I29-I37</f>
        <v/>
      </c>
      <c r="J38" s="41">
        <f>J29-J37</f>
        <v/>
      </c>
      <c r="K38" s="41">
        <f>K29-K37</f>
        <v/>
      </c>
      <c r="L38" s="41">
        <f>L29-L37</f>
        <v/>
      </c>
      <c r="M38" s="41">
        <f>M29-M37</f>
        <v/>
      </c>
      <c r="N38" s="41">
        <f>N29-N37</f>
        <v/>
      </c>
      <c r="O38" s="41">
        <f>O29-O37</f>
        <v/>
      </c>
      <c r="P38" s="41">
        <f>P29-P37</f>
        <v/>
      </c>
      <c r="Q38" s="41">
        <f>Q29-Q37</f>
        <v/>
      </c>
      <c r="R38" s="41">
        <f>R29-R37</f>
        <v/>
      </c>
      <c r="S38" s="41">
        <f>S29-S37</f>
        <v/>
      </c>
      <c r="T38" s="41">
        <f>T29-T37</f>
        <v/>
      </c>
      <c r="U38" s="41">
        <f>U29-U37</f>
        <v/>
      </c>
      <c r="V38" s="41">
        <f>V29-V37</f>
        <v/>
      </c>
      <c r="W38" s="41">
        <f>W29-W37</f>
        <v/>
      </c>
      <c r="X38" s="41">
        <f>X29-X37</f>
        <v/>
      </c>
      <c r="Y38" s="41">
        <f>Y29-Y37</f>
        <v/>
      </c>
      <c r="Z38" s="41">
        <f>Z29-Z37</f>
        <v/>
      </c>
    </row>
    <row r="39">
      <c r="A39" s="5" t="inlineStr">
        <is>
          <t>Margen de contribución %</t>
        </is>
      </c>
      <c r="B39" s="2" t="n"/>
      <c r="C39" s="42">
        <f>IF(C29=0,0,C38/C29)</f>
        <v/>
      </c>
      <c r="D39" s="42">
        <f>IF(D29=0,0,D38/D29)</f>
        <v/>
      </c>
      <c r="E39" s="42">
        <f>IF(E29=0,0,E38/E29)</f>
        <v/>
      </c>
      <c r="F39" s="42">
        <f>IF(F29=0,0,F38/F29)</f>
        <v/>
      </c>
      <c r="G39" s="42">
        <f>IF(G29=0,0,G38/G29)</f>
        <v/>
      </c>
      <c r="H39" s="42">
        <f>IF(H29=0,0,H38/H29)</f>
        <v/>
      </c>
      <c r="I39" s="42">
        <f>IF(I29=0,0,I38/I29)</f>
        <v/>
      </c>
      <c r="J39" s="42">
        <f>IF(J29=0,0,J38/J29)</f>
        <v/>
      </c>
      <c r="K39" s="42">
        <f>IF(K29=0,0,K38/K29)</f>
        <v/>
      </c>
      <c r="L39" s="42">
        <f>IF(L29=0,0,L38/L29)</f>
        <v/>
      </c>
      <c r="M39" s="42">
        <f>IF(M29=0,0,M38/M29)</f>
        <v/>
      </c>
      <c r="N39" s="42">
        <f>IF(N29=0,0,N38/N29)</f>
        <v/>
      </c>
      <c r="O39" s="42">
        <f>IF(O29=0,0,O38/O29)</f>
        <v/>
      </c>
      <c r="P39" s="42">
        <f>IF(P29=0,0,P38/P29)</f>
        <v/>
      </c>
      <c r="Q39" s="42">
        <f>IF(Q29=0,0,Q38/Q29)</f>
        <v/>
      </c>
      <c r="R39" s="42">
        <f>IF(R29=0,0,R38/R29)</f>
        <v/>
      </c>
      <c r="S39" s="42">
        <f>IF(S29=0,0,S38/S29)</f>
        <v/>
      </c>
      <c r="T39" s="42">
        <f>IF(T29=0,0,T38/T29)</f>
        <v/>
      </c>
      <c r="U39" s="42">
        <f>IF(U29=0,0,U38/U29)</f>
        <v/>
      </c>
      <c r="V39" s="42">
        <f>IF(V29=0,0,V38/V29)</f>
        <v/>
      </c>
      <c r="W39" s="42">
        <f>IF(W29=0,0,W38/W29)</f>
        <v/>
      </c>
      <c r="X39" s="42">
        <f>IF(X29=0,0,X38/X29)</f>
        <v/>
      </c>
      <c r="Y39" s="42">
        <f>IF(Y29=0,0,Y38/Y29)</f>
        <v/>
      </c>
      <c r="Z39" s="42">
        <f>IF(Z29=0,0,Z38/Z29)</f>
        <v/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35" t="inlineStr">
        <is>
          <t>COSTOS FIJOS Y DE CRECIMIENTO</t>
        </is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>
      <c r="A42" s="5" t="inlineStr">
        <is>
          <t>Infraestructura</t>
        </is>
      </c>
      <c r="B42" s="2" t="n"/>
      <c r="C42" s="12">
        <f>(Supuestos!$B$15+Supuestos!$B$16*C5)*Supuestos!$B$14</f>
        <v/>
      </c>
      <c r="D42" s="12">
        <f>(Supuestos!$B$15+Supuestos!$B$16*D5)*Supuestos!$B$14</f>
        <v/>
      </c>
      <c r="E42" s="12">
        <f>(Supuestos!$B$15+Supuestos!$B$16*E5)*Supuestos!$B$14</f>
        <v/>
      </c>
      <c r="F42" s="12">
        <f>(Supuestos!$B$15+Supuestos!$B$16*F5)*Supuestos!$B$14</f>
        <v/>
      </c>
      <c r="G42" s="12">
        <f>(Supuestos!$B$15+Supuestos!$B$16*G5)*Supuestos!$B$14</f>
        <v/>
      </c>
      <c r="H42" s="12">
        <f>(Supuestos!$B$15+Supuestos!$B$16*H5)*Supuestos!$B$14</f>
        <v/>
      </c>
      <c r="I42" s="12">
        <f>(Supuestos!$B$15+Supuestos!$B$16*I5)*Supuestos!$B$14</f>
        <v/>
      </c>
      <c r="J42" s="12">
        <f>(Supuestos!$B$15+Supuestos!$B$16*J5)*Supuestos!$B$14</f>
        <v/>
      </c>
      <c r="K42" s="12">
        <f>(Supuestos!$B$15+Supuestos!$B$16*K5)*Supuestos!$B$14</f>
        <v/>
      </c>
      <c r="L42" s="12">
        <f>(Supuestos!$B$15+Supuestos!$B$16*L5)*Supuestos!$B$14</f>
        <v/>
      </c>
      <c r="M42" s="12">
        <f>(Supuestos!$B$15+Supuestos!$B$16*M5)*Supuestos!$B$14</f>
        <v/>
      </c>
      <c r="N42" s="12">
        <f>(Supuestos!$B$15+Supuestos!$B$16*N5)*Supuestos!$B$14</f>
        <v/>
      </c>
      <c r="O42" s="12">
        <f>(Supuestos!$B$15+Supuestos!$B$16*O5)*Supuestos!$B$14</f>
        <v/>
      </c>
      <c r="P42" s="12">
        <f>(Supuestos!$B$15+Supuestos!$B$16*P5)*Supuestos!$B$14</f>
        <v/>
      </c>
      <c r="Q42" s="12">
        <f>(Supuestos!$B$15+Supuestos!$B$16*Q5)*Supuestos!$B$14</f>
        <v/>
      </c>
      <c r="R42" s="12">
        <f>(Supuestos!$B$15+Supuestos!$B$16*R5)*Supuestos!$B$14</f>
        <v/>
      </c>
      <c r="S42" s="12">
        <f>(Supuestos!$B$15+Supuestos!$B$16*S5)*Supuestos!$B$14</f>
        <v/>
      </c>
      <c r="T42" s="12">
        <f>(Supuestos!$B$15+Supuestos!$B$16*T5)*Supuestos!$B$14</f>
        <v/>
      </c>
      <c r="U42" s="12">
        <f>(Supuestos!$B$15+Supuestos!$B$16*U5)*Supuestos!$B$14</f>
        <v/>
      </c>
      <c r="V42" s="12">
        <f>(Supuestos!$B$15+Supuestos!$B$16*V5)*Supuestos!$B$14</f>
        <v/>
      </c>
      <c r="W42" s="12">
        <f>(Supuestos!$B$15+Supuestos!$B$16*W5)*Supuestos!$B$14</f>
        <v/>
      </c>
      <c r="X42" s="12">
        <f>(Supuestos!$B$15+Supuestos!$B$16*X5)*Supuestos!$B$14</f>
        <v/>
      </c>
      <c r="Y42" s="12">
        <f>(Supuestos!$B$15+Supuestos!$B$16*Y5)*Supuestos!$B$14</f>
        <v/>
      </c>
      <c r="Z42" s="12">
        <f>(Supuestos!$B$15+Supuestos!$B$16*Z5)*Supuestos!$B$14</f>
        <v/>
      </c>
    </row>
    <row r="43">
      <c r="A43" s="5" t="inlineStr">
        <is>
          <t>Contador</t>
        </is>
      </c>
      <c r="B43" s="2" t="n"/>
      <c r="C43" s="8">
        <f>Supuestos!$B$27</f>
        <v/>
      </c>
      <c r="D43" s="8">
        <f>Supuestos!$B$27</f>
        <v/>
      </c>
      <c r="E43" s="8">
        <f>Supuestos!$B$27</f>
        <v/>
      </c>
      <c r="F43" s="8">
        <f>Supuestos!$B$27</f>
        <v/>
      </c>
      <c r="G43" s="8">
        <f>Supuestos!$B$27</f>
        <v/>
      </c>
      <c r="H43" s="8">
        <f>Supuestos!$B$27</f>
        <v/>
      </c>
      <c r="I43" s="8">
        <f>Supuestos!$B$27</f>
        <v/>
      </c>
      <c r="J43" s="8">
        <f>Supuestos!$B$27</f>
        <v/>
      </c>
      <c r="K43" s="8">
        <f>Supuestos!$B$27</f>
        <v/>
      </c>
      <c r="L43" s="8">
        <f>Supuestos!$B$27</f>
        <v/>
      </c>
      <c r="M43" s="8">
        <f>Supuestos!$B$27</f>
        <v/>
      </c>
      <c r="N43" s="8">
        <f>Supuestos!$B$27</f>
        <v/>
      </c>
      <c r="O43" s="8">
        <f>Supuestos!$B$27</f>
        <v/>
      </c>
      <c r="P43" s="8">
        <f>Supuestos!$B$27</f>
        <v/>
      </c>
      <c r="Q43" s="8">
        <f>Supuestos!$B$27</f>
        <v/>
      </c>
      <c r="R43" s="8">
        <f>Supuestos!$B$27</f>
        <v/>
      </c>
      <c r="S43" s="8">
        <f>Supuestos!$B$27</f>
        <v/>
      </c>
      <c r="T43" s="8">
        <f>Supuestos!$B$27</f>
        <v/>
      </c>
      <c r="U43" s="8">
        <f>Supuestos!$B$27</f>
        <v/>
      </c>
      <c r="V43" s="8">
        <f>Supuestos!$B$27</f>
        <v/>
      </c>
      <c r="W43" s="8">
        <f>Supuestos!$B$27</f>
        <v/>
      </c>
      <c r="X43" s="8">
        <f>Supuestos!$B$27</f>
        <v/>
      </c>
      <c r="Y43" s="8">
        <f>Supuestos!$B$27</f>
        <v/>
      </c>
      <c r="Z43" s="8">
        <f>Supuestos!$B$27</f>
        <v/>
      </c>
    </row>
    <row r="44">
      <c r="A44" s="5" t="inlineStr">
        <is>
          <t>Adquisición de médicos</t>
        </is>
      </c>
      <c r="B44" s="2" t="n"/>
      <c r="C44" s="12">
        <f>C8*Supuestos!$B$30</f>
        <v/>
      </c>
      <c r="D44" s="12">
        <f>D8*Supuestos!$B$30</f>
        <v/>
      </c>
      <c r="E44" s="12">
        <f>E8*Supuestos!$B$30</f>
        <v/>
      </c>
      <c r="F44" s="12">
        <f>F8*Supuestos!$B$30</f>
        <v/>
      </c>
      <c r="G44" s="12">
        <f>G8*Supuestos!$B$30</f>
        <v/>
      </c>
      <c r="H44" s="12">
        <f>H8*Supuestos!$B$30</f>
        <v/>
      </c>
      <c r="I44" s="12">
        <f>I8*Supuestos!$B$30</f>
        <v/>
      </c>
      <c r="J44" s="12">
        <f>J8*Supuestos!$B$30</f>
        <v/>
      </c>
      <c r="K44" s="12">
        <f>K8*Supuestos!$B$30</f>
        <v/>
      </c>
      <c r="L44" s="12">
        <f>L8*Supuestos!$B$30</f>
        <v/>
      </c>
      <c r="M44" s="12">
        <f>M8*Supuestos!$B$30</f>
        <v/>
      </c>
      <c r="N44" s="12">
        <f>N8*Supuestos!$B$30</f>
        <v/>
      </c>
      <c r="O44" s="12">
        <f>O8*Supuestos!$B$30</f>
        <v/>
      </c>
      <c r="P44" s="12">
        <f>P8*Supuestos!$B$30</f>
        <v/>
      </c>
      <c r="Q44" s="12">
        <f>Q8*Supuestos!$B$30</f>
        <v/>
      </c>
      <c r="R44" s="12">
        <f>R8*Supuestos!$B$30</f>
        <v/>
      </c>
      <c r="S44" s="12">
        <f>S8*Supuestos!$B$30</f>
        <v/>
      </c>
      <c r="T44" s="12">
        <f>T8*Supuestos!$B$30</f>
        <v/>
      </c>
      <c r="U44" s="12">
        <f>U8*Supuestos!$B$30</f>
        <v/>
      </c>
      <c r="V44" s="12">
        <f>V8*Supuestos!$B$30</f>
        <v/>
      </c>
      <c r="W44" s="12">
        <f>W8*Supuestos!$B$30</f>
        <v/>
      </c>
      <c r="X44" s="12">
        <f>X8*Supuestos!$B$30</f>
        <v/>
      </c>
      <c r="Y44" s="12">
        <f>Y8*Supuestos!$B$30</f>
        <v/>
      </c>
      <c r="Z44" s="12">
        <f>Z8*Supuestos!$B$30</f>
        <v/>
      </c>
    </row>
    <row r="45">
      <c r="A45" s="5" t="inlineStr">
        <is>
          <t>Sueldo de Víctor</t>
        </is>
      </c>
      <c r="B45" s="2" t="n"/>
      <c r="C45" s="8">
        <f>Supuestos!$B$31</f>
        <v/>
      </c>
      <c r="D45" s="8">
        <f>Supuestos!$B$31</f>
        <v/>
      </c>
      <c r="E45" s="8">
        <f>Supuestos!$B$31</f>
        <v/>
      </c>
      <c r="F45" s="8">
        <f>Supuestos!$B$31</f>
        <v/>
      </c>
      <c r="G45" s="8">
        <f>Supuestos!$B$31</f>
        <v/>
      </c>
      <c r="H45" s="8">
        <f>Supuestos!$B$31</f>
        <v/>
      </c>
      <c r="I45" s="8">
        <f>Supuestos!$B$31</f>
        <v/>
      </c>
      <c r="J45" s="8">
        <f>Supuestos!$B$31</f>
        <v/>
      </c>
      <c r="K45" s="8">
        <f>Supuestos!$B$31</f>
        <v/>
      </c>
      <c r="L45" s="8">
        <f>Supuestos!$B$31</f>
        <v/>
      </c>
      <c r="M45" s="8">
        <f>Supuestos!$B$31</f>
        <v/>
      </c>
      <c r="N45" s="8">
        <f>Supuestos!$B$31</f>
        <v/>
      </c>
      <c r="O45" s="8">
        <f>Supuestos!$B$31</f>
        <v/>
      </c>
      <c r="P45" s="8">
        <f>Supuestos!$B$31</f>
        <v/>
      </c>
      <c r="Q45" s="8">
        <f>Supuestos!$B$31</f>
        <v/>
      </c>
      <c r="R45" s="8">
        <f>Supuestos!$B$31</f>
        <v/>
      </c>
      <c r="S45" s="8">
        <f>Supuestos!$B$31</f>
        <v/>
      </c>
      <c r="T45" s="8">
        <f>Supuestos!$B$31</f>
        <v/>
      </c>
      <c r="U45" s="8">
        <f>Supuestos!$B$31</f>
        <v/>
      </c>
      <c r="V45" s="8">
        <f>Supuestos!$B$31</f>
        <v/>
      </c>
      <c r="W45" s="8">
        <f>Supuestos!$B$31</f>
        <v/>
      </c>
      <c r="X45" s="8">
        <f>Supuestos!$B$31</f>
        <v/>
      </c>
      <c r="Y45" s="8">
        <f>Supuestos!$B$31</f>
        <v/>
      </c>
      <c r="Z45" s="8">
        <f>Supuestos!$B$31</f>
        <v/>
      </c>
    </row>
    <row r="46">
      <c r="A46" s="5" t="inlineStr">
        <is>
          <t>Pagos únicos (abogado, prueba de penetración)</t>
        </is>
      </c>
      <c r="B46" s="2" t="n"/>
      <c r="C46" s="12">
        <f>IF(C3=1,Supuestos!$B$32,0)+IF(C3=Supuestos!$B$34,Supuestos!$B$33,0)</f>
        <v/>
      </c>
      <c r="D46" s="12">
        <f>IF(D3=1,Supuestos!$B$32,0)+IF(D3=Supuestos!$B$34,Supuestos!$B$33,0)</f>
        <v/>
      </c>
      <c r="E46" s="12">
        <f>IF(E3=1,Supuestos!$B$32,0)+IF(E3=Supuestos!$B$34,Supuestos!$B$33,0)</f>
        <v/>
      </c>
      <c r="F46" s="12">
        <f>IF(F3=1,Supuestos!$B$32,0)+IF(F3=Supuestos!$B$34,Supuestos!$B$33,0)</f>
        <v/>
      </c>
      <c r="G46" s="12">
        <f>IF(G3=1,Supuestos!$B$32,0)+IF(G3=Supuestos!$B$34,Supuestos!$B$33,0)</f>
        <v/>
      </c>
      <c r="H46" s="12">
        <f>IF(H3=1,Supuestos!$B$32,0)+IF(H3=Supuestos!$B$34,Supuestos!$B$33,0)</f>
        <v/>
      </c>
      <c r="I46" s="12">
        <f>IF(I3=1,Supuestos!$B$32,0)+IF(I3=Supuestos!$B$34,Supuestos!$B$33,0)</f>
        <v/>
      </c>
      <c r="J46" s="12">
        <f>IF(J3=1,Supuestos!$B$32,0)+IF(J3=Supuestos!$B$34,Supuestos!$B$33,0)</f>
        <v/>
      </c>
      <c r="K46" s="12">
        <f>IF(K3=1,Supuestos!$B$32,0)+IF(K3=Supuestos!$B$34,Supuestos!$B$33,0)</f>
        <v/>
      </c>
      <c r="L46" s="12">
        <f>IF(L3=1,Supuestos!$B$32,0)+IF(L3=Supuestos!$B$34,Supuestos!$B$33,0)</f>
        <v/>
      </c>
      <c r="M46" s="12">
        <f>IF(M3=1,Supuestos!$B$32,0)+IF(M3=Supuestos!$B$34,Supuestos!$B$33,0)</f>
        <v/>
      </c>
      <c r="N46" s="12">
        <f>IF(N3=1,Supuestos!$B$32,0)+IF(N3=Supuestos!$B$34,Supuestos!$B$33,0)</f>
        <v/>
      </c>
      <c r="O46" s="12">
        <f>IF(O3=1,Supuestos!$B$32,0)+IF(O3=Supuestos!$B$34,Supuestos!$B$33,0)</f>
        <v/>
      </c>
      <c r="P46" s="12">
        <f>IF(P3=1,Supuestos!$B$32,0)+IF(P3=Supuestos!$B$34,Supuestos!$B$33,0)</f>
        <v/>
      </c>
      <c r="Q46" s="12">
        <f>IF(Q3=1,Supuestos!$B$32,0)+IF(Q3=Supuestos!$B$34,Supuestos!$B$33,0)</f>
        <v/>
      </c>
      <c r="R46" s="12">
        <f>IF(R3=1,Supuestos!$B$32,0)+IF(R3=Supuestos!$B$34,Supuestos!$B$33,0)</f>
        <v/>
      </c>
      <c r="S46" s="12">
        <f>IF(S3=1,Supuestos!$B$32,0)+IF(S3=Supuestos!$B$34,Supuestos!$B$33,0)</f>
        <v/>
      </c>
      <c r="T46" s="12">
        <f>IF(T3=1,Supuestos!$B$32,0)+IF(T3=Supuestos!$B$34,Supuestos!$B$33,0)</f>
        <v/>
      </c>
      <c r="U46" s="12">
        <f>IF(U3=1,Supuestos!$B$32,0)+IF(U3=Supuestos!$B$34,Supuestos!$B$33,0)</f>
        <v/>
      </c>
      <c r="V46" s="12">
        <f>IF(V3=1,Supuestos!$B$32,0)+IF(V3=Supuestos!$B$34,Supuestos!$B$33,0)</f>
        <v/>
      </c>
      <c r="W46" s="12">
        <f>IF(W3=1,Supuestos!$B$32,0)+IF(W3=Supuestos!$B$34,Supuestos!$B$33,0)</f>
        <v/>
      </c>
      <c r="X46" s="12">
        <f>IF(X3=1,Supuestos!$B$32,0)+IF(X3=Supuestos!$B$34,Supuestos!$B$33,0)</f>
        <v/>
      </c>
      <c r="Y46" s="12">
        <f>IF(Y3=1,Supuestos!$B$32,0)+IF(Y3=Supuestos!$B$34,Supuestos!$B$33,0)</f>
        <v/>
      </c>
      <c r="Z46" s="12">
        <f>IF(Z3=1,Supuestos!$B$32,0)+IF(Z3=Supuestos!$B$34,Supuestos!$B$33,0)</f>
        <v/>
      </c>
    </row>
    <row r="47">
      <c r="A47" s="5" t="inlineStr">
        <is>
          <t>Total fijos y crecimiento</t>
        </is>
      </c>
      <c r="B47" s="2" t="n"/>
      <c r="C47" s="12">
        <f>SUM(C42:C46)</f>
        <v/>
      </c>
      <c r="D47" s="12">
        <f>SUM(D42:D46)</f>
        <v/>
      </c>
      <c r="E47" s="12">
        <f>SUM(E42:E46)</f>
        <v/>
      </c>
      <c r="F47" s="12">
        <f>SUM(F42:F46)</f>
        <v/>
      </c>
      <c r="G47" s="12">
        <f>SUM(G42:G46)</f>
        <v/>
      </c>
      <c r="H47" s="12">
        <f>SUM(H42:H46)</f>
        <v/>
      </c>
      <c r="I47" s="12">
        <f>SUM(I42:I46)</f>
        <v/>
      </c>
      <c r="J47" s="12">
        <f>SUM(J42:J46)</f>
        <v/>
      </c>
      <c r="K47" s="12">
        <f>SUM(K42:K46)</f>
        <v/>
      </c>
      <c r="L47" s="12">
        <f>SUM(L42:L46)</f>
        <v/>
      </c>
      <c r="M47" s="12">
        <f>SUM(M42:M46)</f>
        <v/>
      </c>
      <c r="N47" s="12">
        <f>SUM(N42:N46)</f>
        <v/>
      </c>
      <c r="O47" s="12">
        <f>SUM(O42:O46)</f>
        <v/>
      </c>
      <c r="P47" s="12">
        <f>SUM(P42:P46)</f>
        <v/>
      </c>
      <c r="Q47" s="12">
        <f>SUM(Q42:Q46)</f>
        <v/>
      </c>
      <c r="R47" s="12">
        <f>SUM(R42:R46)</f>
        <v/>
      </c>
      <c r="S47" s="12">
        <f>SUM(S42:S46)</f>
        <v/>
      </c>
      <c r="T47" s="12">
        <f>SUM(T42:T46)</f>
        <v/>
      </c>
      <c r="U47" s="12">
        <f>SUM(U42:U46)</f>
        <v/>
      </c>
      <c r="V47" s="12">
        <f>SUM(V42:V46)</f>
        <v/>
      </c>
      <c r="W47" s="12">
        <f>SUM(W42:W46)</f>
        <v/>
      </c>
      <c r="X47" s="12">
        <f>SUM(X42:X46)</f>
        <v/>
      </c>
      <c r="Y47" s="12">
        <f>SUM(Y42:Y46)</f>
        <v/>
      </c>
      <c r="Z47" s="12">
        <f>SUM(Z42:Z46)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39" t="inlineStr">
        <is>
          <t>FLUJO NETO DEL MES</t>
        </is>
      </c>
      <c r="B49" s="40" t="n"/>
      <c r="C49" s="41">
        <f>C38-C47</f>
        <v/>
      </c>
      <c r="D49" s="41">
        <f>D38-D47</f>
        <v/>
      </c>
      <c r="E49" s="41">
        <f>E38-E47</f>
        <v/>
      </c>
      <c r="F49" s="41">
        <f>F38-F47</f>
        <v/>
      </c>
      <c r="G49" s="41">
        <f>G38-G47</f>
        <v/>
      </c>
      <c r="H49" s="41">
        <f>H38-H47</f>
        <v/>
      </c>
      <c r="I49" s="41">
        <f>I38-I47</f>
        <v/>
      </c>
      <c r="J49" s="41">
        <f>J38-J47</f>
        <v/>
      </c>
      <c r="K49" s="41">
        <f>K38-K47</f>
        <v/>
      </c>
      <c r="L49" s="41">
        <f>L38-L47</f>
        <v/>
      </c>
      <c r="M49" s="41">
        <f>M38-M47</f>
        <v/>
      </c>
      <c r="N49" s="41">
        <f>N38-N47</f>
        <v/>
      </c>
      <c r="O49" s="41">
        <f>O38-O47</f>
        <v/>
      </c>
      <c r="P49" s="41">
        <f>P38-P47</f>
        <v/>
      </c>
      <c r="Q49" s="41">
        <f>Q38-Q47</f>
        <v/>
      </c>
      <c r="R49" s="41">
        <f>R38-R47</f>
        <v/>
      </c>
      <c r="S49" s="41">
        <f>S38-S47</f>
        <v/>
      </c>
      <c r="T49" s="41">
        <f>T38-T47</f>
        <v/>
      </c>
      <c r="U49" s="41">
        <f>U38-U47</f>
        <v/>
      </c>
      <c r="V49" s="41">
        <f>V38-V47</f>
        <v/>
      </c>
      <c r="W49" s="41">
        <f>W38-W47</f>
        <v/>
      </c>
      <c r="X49" s="41">
        <f>X38-X47</f>
        <v/>
      </c>
      <c r="Y49" s="41">
        <f>Y38-Y47</f>
        <v/>
      </c>
      <c r="Z49" s="41">
        <f>Z38-Z47</f>
        <v/>
      </c>
    </row>
    <row r="50">
      <c r="A50" s="39" t="inlineStr">
        <is>
          <t>FLUJO ACUMULADO</t>
        </is>
      </c>
      <c r="B50" s="40" t="n"/>
      <c r="C50" s="41">
        <f>C49</f>
        <v/>
      </c>
      <c r="D50" s="41">
        <f>C50+D49</f>
        <v/>
      </c>
      <c r="E50" s="41">
        <f>D50+E49</f>
        <v/>
      </c>
      <c r="F50" s="41">
        <f>E50+F49</f>
        <v/>
      </c>
      <c r="G50" s="41">
        <f>F50+G49</f>
        <v/>
      </c>
      <c r="H50" s="41">
        <f>G50+H49</f>
        <v/>
      </c>
      <c r="I50" s="41">
        <f>H50+I49</f>
        <v/>
      </c>
      <c r="J50" s="41">
        <f>I50+J49</f>
        <v/>
      </c>
      <c r="K50" s="41">
        <f>J50+K49</f>
        <v/>
      </c>
      <c r="L50" s="41">
        <f>K50+L49</f>
        <v/>
      </c>
      <c r="M50" s="41">
        <f>L50+M49</f>
        <v/>
      </c>
      <c r="N50" s="41">
        <f>M50+N49</f>
        <v/>
      </c>
      <c r="O50" s="41">
        <f>N50+O49</f>
        <v/>
      </c>
      <c r="P50" s="41">
        <f>O50+P49</f>
        <v/>
      </c>
      <c r="Q50" s="41">
        <f>P50+Q49</f>
        <v/>
      </c>
      <c r="R50" s="41">
        <f>Q50+R49</f>
        <v/>
      </c>
      <c r="S50" s="41">
        <f>R50+S49</f>
        <v/>
      </c>
      <c r="T50" s="41">
        <f>S50+T49</f>
        <v/>
      </c>
      <c r="U50" s="41">
        <f>T50+U49</f>
        <v/>
      </c>
      <c r="V50" s="41">
        <f>U50+V49</f>
        <v/>
      </c>
      <c r="W50" s="41">
        <f>V50+W49</f>
        <v/>
      </c>
      <c r="X50" s="41">
        <f>W50+X49</f>
        <v/>
      </c>
      <c r="Y50" s="41">
        <f>X50+Y49</f>
        <v/>
      </c>
      <c r="Z50" s="41">
        <f>Y50+Z49</f>
        <v/>
      </c>
    </row>
    <row r="51">
      <c r="A51" s="5" t="inlineStr">
        <is>
          <t>Ingreso recurrente anualizado (ARR)</t>
        </is>
      </c>
      <c r="B51" s="2" t="n"/>
      <c r="C51" s="12">
        <f>C26*12</f>
        <v/>
      </c>
      <c r="D51" s="12">
        <f>D26*12</f>
        <v/>
      </c>
      <c r="E51" s="12">
        <f>E26*12</f>
        <v/>
      </c>
      <c r="F51" s="12">
        <f>F26*12</f>
        <v/>
      </c>
      <c r="G51" s="12">
        <f>G26*12</f>
        <v/>
      </c>
      <c r="H51" s="12">
        <f>H26*12</f>
        <v/>
      </c>
      <c r="I51" s="12">
        <f>I26*12</f>
        <v/>
      </c>
      <c r="J51" s="12">
        <f>J26*12</f>
        <v/>
      </c>
      <c r="K51" s="12">
        <f>K26*12</f>
        <v/>
      </c>
      <c r="L51" s="12">
        <f>L26*12</f>
        <v/>
      </c>
      <c r="M51" s="12">
        <f>M26*12</f>
        <v/>
      </c>
      <c r="N51" s="12">
        <f>N26*12</f>
        <v/>
      </c>
      <c r="O51" s="12">
        <f>O26*12</f>
        <v/>
      </c>
      <c r="P51" s="12">
        <f>P26*12</f>
        <v/>
      </c>
      <c r="Q51" s="12">
        <f>Q26*12</f>
        <v/>
      </c>
      <c r="R51" s="12">
        <f>R26*12</f>
        <v/>
      </c>
      <c r="S51" s="12">
        <f>S26*12</f>
        <v/>
      </c>
      <c r="T51" s="12">
        <f>T26*12</f>
        <v/>
      </c>
      <c r="U51" s="12">
        <f>U26*12</f>
        <v/>
      </c>
      <c r="V51" s="12">
        <f>V26*12</f>
        <v/>
      </c>
      <c r="W51" s="12">
        <f>W26*12</f>
        <v/>
      </c>
      <c r="X51" s="12">
        <f>X26*12</f>
        <v/>
      </c>
      <c r="Y51" s="12">
        <f>Y26*12</f>
        <v/>
      </c>
      <c r="Z51" s="12">
        <f>Z26*12</f>
        <v/>
      </c>
    </row>
    <row r="52">
      <c r="A52" s="5" t="inlineStr">
        <is>
          <t>Ayuda: mes con flujo positivo (99 = no)</t>
        </is>
      </c>
      <c r="B52" s="2" t="n"/>
      <c r="C52" s="34">
        <f>IF(C49&gt;0,C3,99)</f>
        <v/>
      </c>
      <c r="D52" s="34">
        <f>IF(D49&gt;0,D3,99)</f>
        <v/>
      </c>
      <c r="E52" s="34">
        <f>IF(E49&gt;0,E3,99)</f>
        <v/>
      </c>
      <c r="F52" s="34">
        <f>IF(F49&gt;0,F3,99)</f>
        <v/>
      </c>
      <c r="G52" s="34">
        <f>IF(G49&gt;0,G3,99)</f>
        <v/>
      </c>
      <c r="H52" s="34">
        <f>IF(H49&gt;0,H3,99)</f>
        <v/>
      </c>
      <c r="I52" s="34">
        <f>IF(I49&gt;0,I3,99)</f>
        <v/>
      </c>
      <c r="J52" s="34">
        <f>IF(J49&gt;0,J3,99)</f>
        <v/>
      </c>
      <c r="K52" s="34">
        <f>IF(K49&gt;0,K3,99)</f>
        <v/>
      </c>
      <c r="L52" s="34">
        <f>IF(L49&gt;0,L3,99)</f>
        <v/>
      </c>
      <c r="M52" s="34">
        <f>IF(M49&gt;0,M3,99)</f>
        <v/>
      </c>
      <c r="N52" s="34">
        <f>IF(N49&gt;0,N3,99)</f>
        <v/>
      </c>
      <c r="O52" s="34">
        <f>IF(O49&gt;0,O3,99)</f>
        <v/>
      </c>
      <c r="P52" s="34">
        <f>IF(P49&gt;0,P3,99)</f>
        <v/>
      </c>
      <c r="Q52" s="34">
        <f>IF(Q49&gt;0,Q3,99)</f>
        <v/>
      </c>
      <c r="R52" s="34">
        <f>IF(R49&gt;0,R3,99)</f>
        <v/>
      </c>
      <c r="S52" s="34">
        <f>IF(S49&gt;0,S3,99)</f>
        <v/>
      </c>
      <c r="T52" s="34">
        <f>IF(T49&gt;0,T3,99)</f>
        <v/>
      </c>
      <c r="U52" s="34">
        <f>IF(U49&gt;0,U3,99)</f>
        <v/>
      </c>
      <c r="V52" s="34">
        <f>IF(V49&gt;0,V3,99)</f>
        <v/>
      </c>
      <c r="W52" s="34">
        <f>IF(W49&gt;0,W3,99)</f>
        <v/>
      </c>
      <c r="X52" s="34">
        <f>IF(X49&gt;0,X3,99)</f>
        <v/>
      </c>
      <c r="Y52" s="34">
        <f>IF(Y49&gt;0,Y3,99)</f>
        <v/>
      </c>
      <c r="Z52" s="34">
        <f>IF(Z49&gt;0,Z3,99)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Escenario Optimista — mes a mes (MXN sin IVA)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Mes #</t>
        </is>
      </c>
      <c r="B3" s="2" t="n"/>
      <c r="C3" s="33" t="n">
        <v>1</v>
      </c>
      <c r="D3" s="33" t="n">
        <v>2</v>
      </c>
      <c r="E3" s="33" t="n">
        <v>3</v>
      </c>
      <c r="F3" s="33" t="n">
        <v>4</v>
      </c>
      <c r="G3" s="33" t="n">
        <v>5</v>
      </c>
      <c r="H3" s="33" t="n">
        <v>6</v>
      </c>
      <c r="I3" s="33" t="n">
        <v>7</v>
      </c>
      <c r="J3" s="33" t="n">
        <v>8</v>
      </c>
      <c r="K3" s="33" t="n">
        <v>9</v>
      </c>
      <c r="L3" s="33" t="n">
        <v>10</v>
      </c>
      <c r="M3" s="33" t="n">
        <v>11</v>
      </c>
      <c r="N3" s="33" t="n">
        <v>12</v>
      </c>
      <c r="O3" s="33" t="n">
        <v>13</v>
      </c>
      <c r="P3" s="33" t="n">
        <v>14</v>
      </c>
      <c r="Q3" s="33" t="n">
        <v>15</v>
      </c>
      <c r="R3" s="33" t="n">
        <v>16</v>
      </c>
      <c r="S3" s="33" t="n">
        <v>17</v>
      </c>
      <c r="T3" s="33" t="n">
        <v>18</v>
      </c>
      <c r="U3" s="33" t="n">
        <v>19</v>
      </c>
      <c r="V3" s="33" t="n">
        <v>20</v>
      </c>
      <c r="W3" s="33" t="n">
        <v>21</v>
      </c>
      <c r="X3" s="33" t="n">
        <v>22</v>
      </c>
      <c r="Y3" s="33" t="n">
        <v>23</v>
      </c>
      <c r="Z3" s="33" t="n">
        <v>24</v>
      </c>
    </row>
    <row r="4">
      <c r="A4" s="5" t="inlineStr">
        <is>
          <t>Mes</t>
        </is>
      </c>
      <c r="B4" s="2" t="n"/>
      <c r="C4" s="33" t="inlineStr">
        <is>
          <t>dic-2026</t>
        </is>
      </c>
      <c r="D4" s="33" t="inlineStr">
        <is>
          <t>ene-2027</t>
        </is>
      </c>
      <c r="E4" s="33" t="inlineStr">
        <is>
          <t>feb-2027</t>
        </is>
      </c>
      <c r="F4" s="33" t="inlineStr">
        <is>
          <t>mar-2027</t>
        </is>
      </c>
      <c r="G4" s="33" t="inlineStr">
        <is>
          <t>abr-2027</t>
        </is>
      </c>
      <c r="H4" s="33" t="inlineStr">
        <is>
          <t>may-2027</t>
        </is>
      </c>
      <c r="I4" s="33" t="inlineStr">
        <is>
          <t>jun-2027</t>
        </is>
      </c>
      <c r="J4" s="33" t="inlineStr">
        <is>
          <t>jul-2027</t>
        </is>
      </c>
      <c r="K4" s="33" t="inlineStr">
        <is>
          <t>ago-2027</t>
        </is>
      </c>
      <c r="L4" s="33" t="inlineStr">
        <is>
          <t>sep-2027</t>
        </is>
      </c>
      <c r="M4" s="33" t="inlineStr">
        <is>
          <t>oct-2027</t>
        </is>
      </c>
      <c r="N4" s="33" t="inlineStr">
        <is>
          <t>nov-2027</t>
        </is>
      </c>
      <c r="O4" s="33" t="inlineStr">
        <is>
          <t>dic-2027</t>
        </is>
      </c>
      <c r="P4" s="33" t="inlineStr">
        <is>
          <t>ene-2028</t>
        </is>
      </c>
      <c r="Q4" s="33" t="inlineStr">
        <is>
          <t>feb-2028</t>
        </is>
      </c>
      <c r="R4" s="33" t="inlineStr">
        <is>
          <t>mar-2028</t>
        </is>
      </c>
      <c r="S4" s="33" t="inlineStr">
        <is>
          <t>abr-2028</t>
        </is>
      </c>
      <c r="T4" s="33" t="inlineStr">
        <is>
          <t>may-2028</t>
        </is>
      </c>
      <c r="U4" s="33" t="inlineStr">
        <is>
          <t>jun-2028</t>
        </is>
      </c>
      <c r="V4" s="33" t="inlineStr">
        <is>
          <t>jul-2028</t>
        </is>
      </c>
      <c r="W4" s="33" t="inlineStr">
        <is>
          <t>ago-2028</t>
        </is>
      </c>
      <c r="X4" s="33" t="inlineStr">
        <is>
          <t>sep-2028</t>
        </is>
      </c>
      <c r="Y4" s="33" t="inlineStr">
        <is>
          <t>oct-2028</t>
        </is>
      </c>
      <c r="Z4" s="33" t="inlineStr">
        <is>
          <t>nov-2028</t>
        </is>
      </c>
    </row>
    <row r="5">
      <c r="A5" s="5" t="inlineStr">
        <is>
          <t>Plan Clínico disponible (1 = sí)</t>
        </is>
      </c>
      <c r="B5" s="2" t="n"/>
      <c r="C5" s="34">
        <f>IF(C3&gt;=Supuestos!$B$34,1,0)</f>
        <v/>
      </c>
      <c r="D5" s="34">
        <f>IF(D3&gt;=Supuestos!$B$34,1,0)</f>
        <v/>
      </c>
      <c r="E5" s="34">
        <f>IF(E3&gt;=Supuestos!$B$34,1,0)</f>
        <v/>
      </c>
      <c r="F5" s="34">
        <f>IF(F3&gt;=Supuestos!$B$34,1,0)</f>
        <v/>
      </c>
      <c r="G5" s="34">
        <f>IF(G3&gt;=Supuestos!$B$34,1,0)</f>
        <v/>
      </c>
      <c r="H5" s="34">
        <f>IF(H3&gt;=Supuestos!$B$34,1,0)</f>
        <v/>
      </c>
      <c r="I5" s="34">
        <f>IF(I3&gt;=Supuestos!$B$34,1,0)</f>
        <v/>
      </c>
      <c r="J5" s="34">
        <f>IF(J3&gt;=Supuestos!$B$34,1,0)</f>
        <v/>
      </c>
      <c r="K5" s="34">
        <f>IF(K3&gt;=Supuestos!$B$34,1,0)</f>
        <v/>
      </c>
      <c r="L5" s="34">
        <f>IF(L3&gt;=Supuestos!$B$34,1,0)</f>
        <v/>
      </c>
      <c r="M5" s="34">
        <f>IF(M3&gt;=Supuestos!$B$34,1,0)</f>
        <v/>
      </c>
      <c r="N5" s="34">
        <f>IF(N3&gt;=Supuestos!$B$34,1,0)</f>
        <v/>
      </c>
      <c r="O5" s="34">
        <f>IF(O3&gt;=Supuestos!$B$34,1,0)</f>
        <v/>
      </c>
      <c r="P5" s="34">
        <f>IF(P3&gt;=Supuestos!$B$34,1,0)</f>
        <v/>
      </c>
      <c r="Q5" s="34">
        <f>IF(Q3&gt;=Supuestos!$B$34,1,0)</f>
        <v/>
      </c>
      <c r="R5" s="34">
        <f>IF(R3&gt;=Supuestos!$B$34,1,0)</f>
        <v/>
      </c>
      <c r="S5" s="34">
        <f>IF(S3&gt;=Supuestos!$B$34,1,0)</f>
        <v/>
      </c>
      <c r="T5" s="34">
        <f>IF(T3&gt;=Supuestos!$B$34,1,0)</f>
        <v/>
      </c>
      <c r="U5" s="34">
        <f>IF(U3&gt;=Supuestos!$B$34,1,0)</f>
        <v/>
      </c>
      <c r="V5" s="34">
        <f>IF(V3&gt;=Supuestos!$B$34,1,0)</f>
        <v/>
      </c>
      <c r="W5" s="34">
        <f>IF(W3&gt;=Supuestos!$B$34,1,0)</f>
        <v/>
      </c>
      <c r="X5" s="34">
        <f>IF(X3&gt;=Supuestos!$B$34,1,0)</f>
        <v/>
      </c>
      <c r="Y5" s="34">
        <f>IF(Y3&gt;=Supuestos!$B$34,1,0)</f>
        <v/>
      </c>
      <c r="Z5" s="34">
        <f>IF(Z3&gt;=Supuestos!$B$34,1,0)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5" t="inlineStr">
        <is>
          <t>MÉDICOS</t>
        </is>
      </c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</row>
    <row r="8">
      <c r="A8" s="5" t="inlineStr">
        <is>
          <t>Médicos nuevos</t>
        </is>
      </c>
      <c r="B8" s="2" t="n"/>
      <c r="C8" s="37">
        <f>Supuestos!$D$44</f>
        <v/>
      </c>
      <c r="D8" s="37">
        <f>Supuestos!$D$44</f>
        <v/>
      </c>
      <c r="E8" s="37">
        <f>Supuestos!$D$44</f>
        <v/>
      </c>
      <c r="F8" s="37">
        <f>Supuestos!$D$44</f>
        <v/>
      </c>
      <c r="G8" s="37">
        <f>Supuestos!$D$44</f>
        <v/>
      </c>
      <c r="H8" s="37">
        <f>Supuestos!$D$44</f>
        <v/>
      </c>
      <c r="I8" s="37">
        <f>Supuestos!$D$44</f>
        <v/>
      </c>
      <c r="J8" s="37">
        <f>Supuestos!$D$44</f>
        <v/>
      </c>
      <c r="K8" s="37">
        <f>Supuestos!$D$44</f>
        <v/>
      </c>
      <c r="L8" s="37">
        <f>Supuestos!$D$44</f>
        <v/>
      </c>
      <c r="M8" s="37">
        <f>Supuestos!$D$44</f>
        <v/>
      </c>
      <c r="N8" s="37">
        <f>Supuestos!$D$44</f>
        <v/>
      </c>
      <c r="O8" s="37">
        <f>Supuestos!$D$44</f>
        <v/>
      </c>
      <c r="P8" s="37">
        <f>Supuestos!$D$44</f>
        <v/>
      </c>
      <c r="Q8" s="37">
        <f>Supuestos!$D$44</f>
        <v/>
      </c>
      <c r="R8" s="37">
        <f>Supuestos!$D$44</f>
        <v/>
      </c>
      <c r="S8" s="37">
        <f>Supuestos!$D$44</f>
        <v/>
      </c>
      <c r="T8" s="37">
        <f>Supuestos!$D$44</f>
        <v/>
      </c>
      <c r="U8" s="37">
        <f>Supuestos!$D$44</f>
        <v/>
      </c>
      <c r="V8" s="37">
        <f>Supuestos!$D$44</f>
        <v/>
      </c>
      <c r="W8" s="37">
        <f>Supuestos!$D$44</f>
        <v/>
      </c>
      <c r="X8" s="37">
        <f>Supuestos!$D$44</f>
        <v/>
      </c>
      <c r="Y8" s="37">
        <f>Supuestos!$D$44</f>
        <v/>
      </c>
      <c r="Z8" s="37">
        <f>Supuestos!$D$44</f>
        <v/>
      </c>
    </row>
    <row r="9">
      <c r="A9" s="5" t="inlineStr">
        <is>
          <t>Fundadores nuevos</t>
        </is>
      </c>
      <c r="B9" s="2" t="n"/>
      <c r="C9" s="38">
        <f>MIN(C8,Supuestos!$B$9)</f>
        <v/>
      </c>
      <c r="D9" s="38">
        <f>MIN(D8,Supuestos!$B$9-C10)</f>
        <v/>
      </c>
      <c r="E9" s="38">
        <f>MIN(E8,Supuestos!$B$9-D10)</f>
        <v/>
      </c>
      <c r="F9" s="38">
        <f>MIN(F8,Supuestos!$B$9-E10)</f>
        <v/>
      </c>
      <c r="G9" s="38">
        <f>MIN(G8,Supuestos!$B$9-F10)</f>
        <v/>
      </c>
      <c r="H9" s="38">
        <f>MIN(H8,Supuestos!$B$9-G10)</f>
        <v/>
      </c>
      <c r="I9" s="38">
        <f>MIN(I8,Supuestos!$B$9-H10)</f>
        <v/>
      </c>
      <c r="J9" s="38">
        <f>MIN(J8,Supuestos!$B$9-I10)</f>
        <v/>
      </c>
      <c r="K9" s="38">
        <f>MIN(K8,Supuestos!$B$9-J10)</f>
        <v/>
      </c>
      <c r="L9" s="38">
        <f>MIN(L8,Supuestos!$B$9-K10)</f>
        <v/>
      </c>
      <c r="M9" s="38">
        <f>MIN(M8,Supuestos!$B$9-L10)</f>
        <v/>
      </c>
      <c r="N9" s="38">
        <f>MIN(N8,Supuestos!$B$9-M10)</f>
        <v/>
      </c>
      <c r="O9" s="38">
        <f>MIN(O8,Supuestos!$B$9-N10)</f>
        <v/>
      </c>
      <c r="P9" s="38">
        <f>MIN(P8,Supuestos!$B$9-O10)</f>
        <v/>
      </c>
      <c r="Q9" s="38">
        <f>MIN(Q8,Supuestos!$B$9-P10)</f>
        <v/>
      </c>
      <c r="R9" s="38">
        <f>MIN(R8,Supuestos!$B$9-Q10)</f>
        <v/>
      </c>
      <c r="S9" s="38">
        <f>MIN(S8,Supuestos!$B$9-R10)</f>
        <v/>
      </c>
      <c r="T9" s="38">
        <f>MIN(T8,Supuestos!$B$9-S10)</f>
        <v/>
      </c>
      <c r="U9" s="38">
        <f>MIN(U8,Supuestos!$B$9-T10)</f>
        <v/>
      </c>
      <c r="V9" s="38">
        <f>MIN(V8,Supuestos!$B$9-U10)</f>
        <v/>
      </c>
      <c r="W9" s="38">
        <f>MIN(W8,Supuestos!$B$9-V10)</f>
        <v/>
      </c>
      <c r="X9" s="38">
        <f>MIN(X8,Supuestos!$B$9-W10)</f>
        <v/>
      </c>
      <c r="Y9" s="38">
        <f>MIN(Y8,Supuestos!$B$9-X10)</f>
        <v/>
      </c>
      <c r="Z9" s="38">
        <f>MIN(Z8,Supuestos!$B$9-Y10)</f>
        <v/>
      </c>
    </row>
    <row r="10">
      <c r="A10" s="5" t="inlineStr">
        <is>
          <t>Fundadores inscritos (acumulado)</t>
        </is>
      </c>
      <c r="B10" s="2" t="n"/>
      <c r="C10" s="38">
        <f>C9</f>
        <v/>
      </c>
      <c r="D10" s="38">
        <f>C10+D9</f>
        <v/>
      </c>
      <c r="E10" s="38">
        <f>D10+E9</f>
        <v/>
      </c>
      <c r="F10" s="38">
        <f>E10+F9</f>
        <v/>
      </c>
      <c r="G10" s="38">
        <f>F10+G9</f>
        <v/>
      </c>
      <c r="H10" s="38">
        <f>G10+H9</f>
        <v/>
      </c>
      <c r="I10" s="38">
        <f>H10+I9</f>
        <v/>
      </c>
      <c r="J10" s="38">
        <f>I10+J9</f>
        <v/>
      </c>
      <c r="K10" s="38">
        <f>J10+K9</f>
        <v/>
      </c>
      <c r="L10" s="38">
        <f>K10+L9</f>
        <v/>
      </c>
      <c r="M10" s="38">
        <f>L10+M9</f>
        <v/>
      </c>
      <c r="N10" s="38">
        <f>M10+N9</f>
        <v/>
      </c>
      <c r="O10" s="38">
        <f>N10+O9</f>
        <v/>
      </c>
      <c r="P10" s="38">
        <f>O10+P9</f>
        <v/>
      </c>
      <c r="Q10" s="38">
        <f>P10+Q9</f>
        <v/>
      </c>
      <c r="R10" s="38">
        <f>Q10+R9</f>
        <v/>
      </c>
      <c r="S10" s="38">
        <f>R10+S9</f>
        <v/>
      </c>
      <c r="T10" s="38">
        <f>S10+T9</f>
        <v/>
      </c>
      <c r="U10" s="38">
        <f>T10+U9</f>
        <v/>
      </c>
      <c r="V10" s="38">
        <f>U10+V9</f>
        <v/>
      </c>
      <c r="W10" s="38">
        <f>V10+W9</f>
        <v/>
      </c>
      <c r="X10" s="38">
        <f>W10+X9</f>
        <v/>
      </c>
      <c r="Y10" s="38">
        <f>X10+Y9</f>
        <v/>
      </c>
      <c r="Z10" s="38">
        <f>Y10+Z9</f>
        <v/>
      </c>
    </row>
    <row r="11">
      <c r="A11" s="5" t="inlineStr">
        <is>
          <t>Nuevos no fundadores</t>
        </is>
      </c>
      <c r="B11" s="2" t="n"/>
      <c r="C11" s="38">
        <f>C8-C9</f>
        <v/>
      </c>
      <c r="D11" s="38">
        <f>D8-D9</f>
        <v/>
      </c>
      <c r="E11" s="38">
        <f>E8-E9</f>
        <v/>
      </c>
      <c r="F11" s="38">
        <f>F8-F9</f>
        <v/>
      </c>
      <c r="G11" s="38">
        <f>G8-G9</f>
        <v/>
      </c>
      <c r="H11" s="38">
        <f>H8-H9</f>
        <v/>
      </c>
      <c r="I11" s="38">
        <f>I8-I9</f>
        <v/>
      </c>
      <c r="J11" s="38">
        <f>J8-J9</f>
        <v/>
      </c>
      <c r="K11" s="38">
        <f>K8-K9</f>
        <v/>
      </c>
      <c r="L11" s="38">
        <f>L8-L9</f>
        <v/>
      </c>
      <c r="M11" s="38">
        <f>M8-M9</f>
        <v/>
      </c>
      <c r="N11" s="38">
        <f>N8-N9</f>
        <v/>
      </c>
      <c r="O11" s="38">
        <f>O8-O9</f>
        <v/>
      </c>
      <c r="P11" s="38">
        <f>P8-P9</f>
        <v/>
      </c>
      <c r="Q11" s="38">
        <f>Q8-Q9</f>
        <v/>
      </c>
      <c r="R11" s="38">
        <f>R8-R9</f>
        <v/>
      </c>
      <c r="S11" s="38">
        <f>S8-S9</f>
        <v/>
      </c>
      <c r="T11" s="38">
        <f>T8-T9</f>
        <v/>
      </c>
      <c r="U11" s="38">
        <f>U8-U9</f>
        <v/>
      </c>
      <c r="V11" s="38">
        <f>V8-V9</f>
        <v/>
      </c>
      <c r="W11" s="38">
        <f>W8-W9</f>
        <v/>
      </c>
      <c r="X11" s="38">
        <f>X8-X9</f>
        <v/>
      </c>
      <c r="Y11" s="38">
        <f>Y8-Y9</f>
        <v/>
      </c>
      <c r="Z11" s="38">
        <f>Z8-Z9</f>
        <v/>
      </c>
    </row>
    <row r="12">
      <c r="A12" s="5" t="inlineStr">
        <is>
          <t>Nuevos que eligen Clínico</t>
        </is>
      </c>
      <c r="B12" s="2" t="n"/>
      <c r="C12" s="38">
        <f>C11*C5*Supuestos!$D$46</f>
        <v/>
      </c>
      <c r="D12" s="38">
        <f>D11*D5*Supuestos!$D$46</f>
        <v/>
      </c>
      <c r="E12" s="38">
        <f>E11*E5*Supuestos!$D$46</f>
        <v/>
      </c>
      <c r="F12" s="38">
        <f>F11*F5*Supuestos!$D$46</f>
        <v/>
      </c>
      <c r="G12" s="38">
        <f>G11*G5*Supuestos!$D$46</f>
        <v/>
      </c>
      <c r="H12" s="38">
        <f>H11*H5*Supuestos!$D$46</f>
        <v/>
      </c>
      <c r="I12" s="38">
        <f>I11*I5*Supuestos!$D$46</f>
        <v/>
      </c>
      <c r="J12" s="38">
        <f>J11*J5*Supuestos!$D$46</f>
        <v/>
      </c>
      <c r="K12" s="38">
        <f>K11*K5*Supuestos!$D$46</f>
        <v/>
      </c>
      <c r="L12" s="38">
        <f>L11*L5*Supuestos!$D$46</f>
        <v/>
      </c>
      <c r="M12" s="38">
        <f>M11*M5*Supuestos!$D$46</f>
        <v/>
      </c>
      <c r="N12" s="38">
        <f>N11*N5*Supuestos!$D$46</f>
        <v/>
      </c>
      <c r="O12" s="38">
        <f>O11*O5*Supuestos!$D$46</f>
        <v/>
      </c>
      <c r="P12" s="38">
        <f>P11*P5*Supuestos!$D$46</f>
        <v/>
      </c>
      <c r="Q12" s="38">
        <f>Q11*Q5*Supuestos!$D$46</f>
        <v/>
      </c>
      <c r="R12" s="38">
        <f>R11*R5*Supuestos!$D$46</f>
        <v/>
      </c>
      <c r="S12" s="38">
        <f>S11*S5*Supuestos!$D$46</f>
        <v/>
      </c>
      <c r="T12" s="38">
        <f>T11*T5*Supuestos!$D$46</f>
        <v/>
      </c>
      <c r="U12" s="38">
        <f>U11*U5*Supuestos!$D$46</f>
        <v/>
      </c>
      <c r="V12" s="38">
        <f>V11*V5*Supuestos!$D$46</f>
        <v/>
      </c>
      <c r="W12" s="38">
        <f>W11*W5*Supuestos!$D$46</f>
        <v/>
      </c>
      <c r="X12" s="38">
        <f>X11*X5*Supuestos!$D$46</f>
        <v/>
      </c>
      <c r="Y12" s="38">
        <f>Y11*Y5*Supuestos!$D$46</f>
        <v/>
      </c>
      <c r="Z12" s="38">
        <f>Z11*Z5*Supuestos!$D$46</f>
        <v/>
      </c>
    </row>
    <row r="13">
      <c r="A13" s="5" t="inlineStr">
        <is>
          <t>Nuevos que eligen Red</t>
        </is>
      </c>
      <c r="B13" s="2" t="n"/>
      <c r="C13" s="38">
        <f>C11-C12</f>
        <v/>
      </c>
      <c r="D13" s="38">
        <f>D11-D12</f>
        <v/>
      </c>
      <c r="E13" s="38">
        <f>E11-E12</f>
        <v/>
      </c>
      <c r="F13" s="38">
        <f>F11-F12</f>
        <v/>
      </c>
      <c r="G13" s="38">
        <f>G11-G12</f>
        <v/>
      </c>
      <c r="H13" s="38">
        <f>H11-H12</f>
        <v/>
      </c>
      <c r="I13" s="38">
        <f>I11-I12</f>
        <v/>
      </c>
      <c r="J13" s="38">
        <f>J11-J12</f>
        <v/>
      </c>
      <c r="K13" s="38">
        <f>K11-K12</f>
        <v/>
      </c>
      <c r="L13" s="38">
        <f>L11-L12</f>
        <v/>
      </c>
      <c r="M13" s="38">
        <f>M11-M12</f>
        <v/>
      </c>
      <c r="N13" s="38">
        <f>N11-N12</f>
        <v/>
      </c>
      <c r="O13" s="38">
        <f>O11-O12</f>
        <v/>
      </c>
      <c r="P13" s="38">
        <f>P11-P12</f>
        <v/>
      </c>
      <c r="Q13" s="38">
        <f>Q11-Q12</f>
        <v/>
      </c>
      <c r="R13" s="38">
        <f>R11-R12</f>
        <v/>
      </c>
      <c r="S13" s="38">
        <f>S11-S12</f>
        <v/>
      </c>
      <c r="T13" s="38">
        <f>T11-T12</f>
        <v/>
      </c>
      <c r="U13" s="38">
        <f>U11-U12</f>
        <v/>
      </c>
      <c r="V13" s="38">
        <f>V11-V12</f>
        <v/>
      </c>
      <c r="W13" s="38">
        <f>W11-W12</f>
        <v/>
      </c>
      <c r="X13" s="38">
        <f>X11-X12</f>
        <v/>
      </c>
      <c r="Y13" s="38">
        <f>Y11-Y12</f>
        <v/>
      </c>
      <c r="Z13" s="38">
        <f>Z11-Z12</f>
        <v/>
      </c>
    </row>
    <row r="14">
      <c r="A14" s="5" t="inlineStr">
        <is>
          <t>Fundadores activos</t>
        </is>
      </c>
      <c r="B14" s="2" t="n"/>
      <c r="C14" s="38">
        <f>C9</f>
        <v/>
      </c>
      <c r="D14" s="38">
        <f>C14*(1-Supuestos!$D$45)+D9</f>
        <v/>
      </c>
      <c r="E14" s="38">
        <f>D14*(1-Supuestos!$D$45)+E9</f>
        <v/>
      </c>
      <c r="F14" s="38">
        <f>E14*(1-Supuestos!$D$45)+F9</f>
        <v/>
      </c>
      <c r="G14" s="38">
        <f>F14*(1-Supuestos!$D$45)+G9</f>
        <v/>
      </c>
      <c r="H14" s="38">
        <f>G14*(1-Supuestos!$D$45)+H9</f>
        <v/>
      </c>
      <c r="I14" s="38">
        <f>H14*(1-Supuestos!$D$45)+I9</f>
        <v/>
      </c>
      <c r="J14" s="38">
        <f>I14*(1-Supuestos!$D$45)+J9</f>
        <v/>
      </c>
      <c r="K14" s="38">
        <f>J14*(1-Supuestos!$D$45)+K9</f>
        <v/>
      </c>
      <c r="L14" s="38">
        <f>K14*(1-Supuestos!$D$45)+L9</f>
        <v/>
      </c>
      <c r="M14" s="38">
        <f>L14*(1-Supuestos!$D$45)+M9</f>
        <v/>
      </c>
      <c r="N14" s="38">
        <f>M14*(1-Supuestos!$D$45)+N9</f>
        <v/>
      </c>
      <c r="O14" s="38">
        <f>N14*(1-Supuestos!$D$45)+O9</f>
        <v/>
      </c>
      <c r="P14" s="38">
        <f>O14*(1-Supuestos!$D$45)+P9</f>
        <v/>
      </c>
      <c r="Q14" s="38">
        <f>P14*(1-Supuestos!$D$45)+Q9</f>
        <v/>
      </c>
      <c r="R14" s="38">
        <f>Q14*(1-Supuestos!$D$45)+R9</f>
        <v/>
      </c>
      <c r="S14" s="38">
        <f>R14*(1-Supuestos!$D$45)+S9</f>
        <v/>
      </c>
      <c r="T14" s="38">
        <f>S14*(1-Supuestos!$D$45)+T9</f>
        <v/>
      </c>
      <c r="U14" s="38">
        <f>T14*(1-Supuestos!$D$45)+U9</f>
        <v/>
      </c>
      <c r="V14" s="38">
        <f>U14*(1-Supuestos!$D$45)+V9</f>
        <v/>
      </c>
      <c r="W14" s="38">
        <f>V14*(1-Supuestos!$D$45)+W9</f>
        <v/>
      </c>
      <c r="X14" s="38">
        <f>W14*(1-Supuestos!$D$45)+X9</f>
        <v/>
      </c>
      <c r="Y14" s="38">
        <f>X14*(1-Supuestos!$D$45)+Y9</f>
        <v/>
      </c>
      <c r="Z14" s="38">
        <f>Y14*(1-Supuestos!$D$45)+Z9</f>
        <v/>
      </c>
    </row>
    <row r="15">
      <c r="A15" s="5" t="inlineStr">
        <is>
          <t>Suben de Red a Clínico</t>
        </is>
      </c>
      <c r="B15" s="2" t="n"/>
      <c r="C15" s="38">
        <f>0</f>
        <v/>
      </c>
      <c r="D15" s="38">
        <f>C16*(1-Supuestos!$D$45)*D5*Supuestos!$D$47</f>
        <v/>
      </c>
      <c r="E15" s="38">
        <f>D16*(1-Supuestos!$D$45)*E5*Supuestos!$D$47</f>
        <v/>
      </c>
      <c r="F15" s="38">
        <f>E16*(1-Supuestos!$D$45)*F5*Supuestos!$D$47</f>
        <v/>
      </c>
      <c r="G15" s="38">
        <f>F16*(1-Supuestos!$D$45)*G5*Supuestos!$D$47</f>
        <v/>
      </c>
      <c r="H15" s="38">
        <f>G16*(1-Supuestos!$D$45)*H5*Supuestos!$D$47</f>
        <v/>
      </c>
      <c r="I15" s="38">
        <f>H16*(1-Supuestos!$D$45)*I5*Supuestos!$D$47</f>
        <v/>
      </c>
      <c r="J15" s="38">
        <f>I16*(1-Supuestos!$D$45)*J5*Supuestos!$D$47</f>
        <v/>
      </c>
      <c r="K15" s="38">
        <f>J16*(1-Supuestos!$D$45)*K5*Supuestos!$D$47</f>
        <v/>
      </c>
      <c r="L15" s="38">
        <f>K16*(1-Supuestos!$D$45)*L5*Supuestos!$D$47</f>
        <v/>
      </c>
      <c r="M15" s="38">
        <f>L16*(1-Supuestos!$D$45)*M5*Supuestos!$D$47</f>
        <v/>
      </c>
      <c r="N15" s="38">
        <f>M16*(1-Supuestos!$D$45)*N5*Supuestos!$D$47</f>
        <v/>
      </c>
      <c r="O15" s="38">
        <f>N16*(1-Supuestos!$D$45)*O5*Supuestos!$D$47</f>
        <v/>
      </c>
      <c r="P15" s="38">
        <f>O16*(1-Supuestos!$D$45)*P5*Supuestos!$D$47</f>
        <v/>
      </c>
      <c r="Q15" s="38">
        <f>P16*(1-Supuestos!$D$45)*Q5*Supuestos!$D$47</f>
        <v/>
      </c>
      <c r="R15" s="38">
        <f>Q16*(1-Supuestos!$D$45)*R5*Supuestos!$D$47</f>
        <v/>
      </c>
      <c r="S15" s="38">
        <f>R16*(1-Supuestos!$D$45)*S5*Supuestos!$D$47</f>
        <v/>
      </c>
      <c r="T15" s="38">
        <f>S16*(1-Supuestos!$D$45)*T5*Supuestos!$D$47</f>
        <v/>
      </c>
      <c r="U15" s="38">
        <f>T16*(1-Supuestos!$D$45)*U5*Supuestos!$D$47</f>
        <v/>
      </c>
      <c r="V15" s="38">
        <f>U16*(1-Supuestos!$D$45)*V5*Supuestos!$D$47</f>
        <v/>
      </c>
      <c r="W15" s="38">
        <f>V16*(1-Supuestos!$D$45)*W5*Supuestos!$D$47</f>
        <v/>
      </c>
      <c r="X15" s="38">
        <f>W16*(1-Supuestos!$D$45)*X5*Supuestos!$D$47</f>
        <v/>
      </c>
      <c r="Y15" s="38">
        <f>X16*(1-Supuestos!$D$45)*Y5*Supuestos!$D$47</f>
        <v/>
      </c>
      <c r="Z15" s="38">
        <f>Y16*(1-Supuestos!$D$45)*Z5*Supuestos!$D$47</f>
        <v/>
      </c>
    </row>
    <row r="16">
      <c r="A16" s="5" t="inlineStr">
        <is>
          <t>Red activos</t>
        </is>
      </c>
      <c r="B16" s="2" t="n"/>
      <c r="C16" s="38">
        <f>C13</f>
        <v/>
      </c>
      <c r="D16" s="38">
        <f>C16*(1-Supuestos!$D$45)-D15+D13</f>
        <v/>
      </c>
      <c r="E16" s="38">
        <f>D16*(1-Supuestos!$D$45)-E15+E13</f>
        <v/>
      </c>
      <c r="F16" s="38">
        <f>E16*(1-Supuestos!$D$45)-F15+F13</f>
        <v/>
      </c>
      <c r="G16" s="38">
        <f>F16*(1-Supuestos!$D$45)-G15+G13</f>
        <v/>
      </c>
      <c r="H16" s="38">
        <f>G16*(1-Supuestos!$D$45)-H15+H13</f>
        <v/>
      </c>
      <c r="I16" s="38">
        <f>H16*(1-Supuestos!$D$45)-I15+I13</f>
        <v/>
      </c>
      <c r="J16" s="38">
        <f>I16*(1-Supuestos!$D$45)-J15+J13</f>
        <v/>
      </c>
      <c r="K16" s="38">
        <f>J16*(1-Supuestos!$D$45)-K15+K13</f>
        <v/>
      </c>
      <c r="L16" s="38">
        <f>K16*(1-Supuestos!$D$45)-L15+L13</f>
        <v/>
      </c>
      <c r="M16" s="38">
        <f>L16*(1-Supuestos!$D$45)-M15+M13</f>
        <v/>
      </c>
      <c r="N16" s="38">
        <f>M16*(1-Supuestos!$D$45)-N15+N13</f>
        <v/>
      </c>
      <c r="O16" s="38">
        <f>N16*(1-Supuestos!$D$45)-O15+O13</f>
        <v/>
      </c>
      <c r="P16" s="38">
        <f>O16*(1-Supuestos!$D$45)-P15+P13</f>
        <v/>
      </c>
      <c r="Q16" s="38">
        <f>P16*(1-Supuestos!$D$45)-Q15+Q13</f>
        <v/>
      </c>
      <c r="R16" s="38">
        <f>Q16*(1-Supuestos!$D$45)-R15+R13</f>
        <v/>
      </c>
      <c r="S16" s="38">
        <f>R16*(1-Supuestos!$D$45)-S15+S13</f>
        <v/>
      </c>
      <c r="T16" s="38">
        <f>S16*(1-Supuestos!$D$45)-T15+T13</f>
        <v/>
      </c>
      <c r="U16" s="38">
        <f>T16*(1-Supuestos!$D$45)-U15+U13</f>
        <v/>
      </c>
      <c r="V16" s="38">
        <f>U16*(1-Supuestos!$D$45)-V15+V13</f>
        <v/>
      </c>
      <c r="W16" s="38">
        <f>V16*(1-Supuestos!$D$45)-W15+W13</f>
        <v/>
      </c>
      <c r="X16" s="38">
        <f>W16*(1-Supuestos!$D$45)-X15+X13</f>
        <v/>
      </c>
      <c r="Y16" s="38">
        <f>X16*(1-Supuestos!$D$45)-Y15+Y13</f>
        <v/>
      </c>
      <c r="Z16" s="38">
        <f>Y16*(1-Supuestos!$D$45)-Z15+Z13</f>
        <v/>
      </c>
    </row>
    <row r="17">
      <c r="A17" s="5" t="inlineStr">
        <is>
          <t>Clínico activos (precio completo)</t>
        </is>
      </c>
      <c r="B17" s="2" t="n"/>
      <c r="C17" s="38">
        <f>C12</f>
        <v/>
      </c>
      <c r="D17" s="38">
        <f>C17*(1-Supuestos!$D$45)+D12+D15</f>
        <v/>
      </c>
      <c r="E17" s="38">
        <f>D17*(1-Supuestos!$D$45)+E12+E15</f>
        <v/>
      </c>
      <c r="F17" s="38">
        <f>E17*(1-Supuestos!$D$45)+F12+F15</f>
        <v/>
      </c>
      <c r="G17" s="38">
        <f>F17*(1-Supuestos!$D$45)+G12+G15</f>
        <v/>
      </c>
      <c r="H17" s="38">
        <f>G17*(1-Supuestos!$D$45)+H12+H15</f>
        <v/>
      </c>
      <c r="I17" s="38">
        <f>H17*(1-Supuestos!$D$45)+I12+I15</f>
        <v/>
      </c>
      <c r="J17" s="38">
        <f>I17*(1-Supuestos!$D$45)+J12+J15</f>
        <v/>
      </c>
      <c r="K17" s="38">
        <f>J17*(1-Supuestos!$D$45)+K12+K15</f>
        <v/>
      </c>
      <c r="L17" s="38">
        <f>K17*(1-Supuestos!$D$45)+L12+L15</f>
        <v/>
      </c>
      <c r="M17" s="38">
        <f>L17*(1-Supuestos!$D$45)+M12+M15</f>
        <v/>
      </c>
      <c r="N17" s="38">
        <f>M17*(1-Supuestos!$D$45)+N12+N15</f>
        <v/>
      </c>
      <c r="O17" s="38">
        <f>N17*(1-Supuestos!$D$45)+O12+O15</f>
        <v/>
      </c>
      <c r="P17" s="38">
        <f>O17*(1-Supuestos!$D$45)+P12+P15</f>
        <v/>
      </c>
      <c r="Q17" s="38">
        <f>P17*(1-Supuestos!$D$45)+Q12+Q15</f>
        <v/>
      </c>
      <c r="R17" s="38">
        <f>Q17*(1-Supuestos!$D$45)+R12+R15</f>
        <v/>
      </c>
      <c r="S17" s="38">
        <f>R17*(1-Supuestos!$D$45)+S12+S15</f>
        <v/>
      </c>
      <c r="T17" s="38">
        <f>S17*(1-Supuestos!$D$45)+T12+T15</f>
        <v/>
      </c>
      <c r="U17" s="38">
        <f>T17*(1-Supuestos!$D$45)+U12+U15</f>
        <v/>
      </c>
      <c r="V17" s="38">
        <f>U17*(1-Supuestos!$D$45)+V12+V15</f>
        <v/>
      </c>
      <c r="W17" s="38">
        <f>V17*(1-Supuestos!$D$45)+W12+W15</f>
        <v/>
      </c>
      <c r="X17" s="38">
        <f>W17*(1-Supuestos!$D$45)+X12+X15</f>
        <v/>
      </c>
      <c r="Y17" s="38">
        <f>X17*(1-Supuestos!$D$45)+Y12+Y15</f>
        <v/>
      </c>
      <c r="Z17" s="38">
        <f>Y17*(1-Supuestos!$D$45)+Z12+Z15</f>
        <v/>
      </c>
    </row>
    <row r="18">
      <c r="A18" s="5" t="inlineStr">
        <is>
          <t>Total médicos activos</t>
        </is>
      </c>
      <c r="B18" s="2" t="n"/>
      <c r="C18" s="38">
        <f>C14+C16+C17</f>
        <v/>
      </c>
      <c r="D18" s="38">
        <f>D14+D16+D17</f>
        <v/>
      </c>
      <c r="E18" s="38">
        <f>E14+E16+E17</f>
        <v/>
      </c>
      <c r="F18" s="38">
        <f>F14+F16+F17</f>
        <v/>
      </c>
      <c r="G18" s="38">
        <f>G14+G16+G17</f>
        <v/>
      </c>
      <c r="H18" s="38">
        <f>H14+H16+H17</f>
        <v/>
      </c>
      <c r="I18" s="38">
        <f>I14+I16+I17</f>
        <v/>
      </c>
      <c r="J18" s="38">
        <f>J14+J16+J17</f>
        <v/>
      </c>
      <c r="K18" s="38">
        <f>K14+K16+K17</f>
        <v/>
      </c>
      <c r="L18" s="38">
        <f>L14+L16+L17</f>
        <v/>
      </c>
      <c r="M18" s="38">
        <f>M14+M16+M17</f>
        <v/>
      </c>
      <c r="N18" s="38">
        <f>N14+N16+N17</f>
        <v/>
      </c>
      <c r="O18" s="38">
        <f>O14+O16+O17</f>
        <v/>
      </c>
      <c r="P18" s="38">
        <f>P14+P16+P17</f>
        <v/>
      </c>
      <c r="Q18" s="38">
        <f>Q14+Q16+Q17</f>
        <v/>
      </c>
      <c r="R18" s="38">
        <f>R14+R16+R17</f>
        <v/>
      </c>
      <c r="S18" s="38">
        <f>S14+S16+S17</f>
        <v/>
      </c>
      <c r="T18" s="38">
        <f>T14+T16+T17</f>
        <v/>
      </c>
      <c r="U18" s="38">
        <f>U14+U16+U17</f>
        <v/>
      </c>
      <c r="V18" s="38">
        <f>V14+V16+V17</f>
        <v/>
      </c>
      <c r="W18" s="38">
        <f>W14+W16+W17</f>
        <v/>
      </c>
      <c r="X18" s="38">
        <f>X14+X16+X17</f>
        <v/>
      </c>
      <c r="Y18" s="38">
        <f>Y14+Y16+Y17</f>
        <v/>
      </c>
      <c r="Z18" s="38">
        <f>Z14+Z16+Z17</f>
        <v/>
      </c>
    </row>
    <row r="19">
      <c r="A19" s="5" t="inlineStr">
        <is>
          <t>Médicos usando el portal clínico</t>
        </is>
      </c>
      <c r="B19" s="2" t="n"/>
      <c r="C19" s="38">
        <f>C17+C14*C5</f>
        <v/>
      </c>
      <c r="D19" s="38">
        <f>D17+D14*D5</f>
        <v/>
      </c>
      <c r="E19" s="38">
        <f>E17+E14*E5</f>
        <v/>
      </c>
      <c r="F19" s="38">
        <f>F17+F14*F5</f>
        <v/>
      </c>
      <c r="G19" s="38">
        <f>G17+G14*G5</f>
        <v/>
      </c>
      <c r="H19" s="38">
        <f>H17+H14*H5</f>
        <v/>
      </c>
      <c r="I19" s="38">
        <f>I17+I14*I5</f>
        <v/>
      </c>
      <c r="J19" s="38">
        <f>J17+J14*J5</f>
        <v/>
      </c>
      <c r="K19" s="38">
        <f>K17+K14*K5</f>
        <v/>
      </c>
      <c r="L19" s="38">
        <f>L17+L14*L5</f>
        <v/>
      </c>
      <c r="M19" s="38">
        <f>M17+M14*M5</f>
        <v/>
      </c>
      <c r="N19" s="38">
        <f>N17+N14*N5</f>
        <v/>
      </c>
      <c r="O19" s="38">
        <f>O17+O14*O5</f>
        <v/>
      </c>
      <c r="P19" s="38">
        <f>P17+P14*P5</f>
        <v/>
      </c>
      <c r="Q19" s="38">
        <f>Q17+Q14*Q5</f>
        <v/>
      </c>
      <c r="R19" s="38">
        <f>R17+R14*R5</f>
        <v/>
      </c>
      <c r="S19" s="38">
        <f>S17+S14*S5</f>
        <v/>
      </c>
      <c r="T19" s="38">
        <f>T17+T14*T5</f>
        <v/>
      </c>
      <c r="U19" s="38">
        <f>U17+U14*U5</f>
        <v/>
      </c>
      <c r="V19" s="38">
        <f>V17+V14*V5</f>
        <v/>
      </c>
      <c r="W19" s="38">
        <f>W17+W14*W5</f>
        <v/>
      </c>
      <c r="X19" s="38">
        <f>X17+X14*X5</f>
        <v/>
      </c>
      <c r="Y19" s="38">
        <f>Y17+Y14*Y5</f>
        <v/>
      </c>
      <c r="Z19" s="38">
        <f>Z17+Z14*Z5</f>
        <v/>
      </c>
    </row>
    <row r="20">
      <c r="A20" s="5" t="inlineStr">
        <is>
          <t>Médicos usando solo Red</t>
        </is>
      </c>
      <c r="B20" s="2" t="n"/>
      <c r="C20" s="38">
        <f>C18-C19</f>
        <v/>
      </c>
      <c r="D20" s="38">
        <f>D18-D19</f>
        <v/>
      </c>
      <c r="E20" s="38">
        <f>E18-E19</f>
        <v/>
      </c>
      <c r="F20" s="38">
        <f>F18-F19</f>
        <v/>
      </c>
      <c r="G20" s="38">
        <f>G18-G19</f>
        <v/>
      </c>
      <c r="H20" s="38">
        <f>H18-H19</f>
        <v/>
      </c>
      <c r="I20" s="38">
        <f>I18-I19</f>
        <v/>
      </c>
      <c r="J20" s="38">
        <f>J18-J19</f>
        <v/>
      </c>
      <c r="K20" s="38">
        <f>K18-K19</f>
        <v/>
      </c>
      <c r="L20" s="38">
        <f>L18-L19</f>
        <v/>
      </c>
      <c r="M20" s="38">
        <f>M18-M19</f>
        <v/>
      </c>
      <c r="N20" s="38">
        <f>N18-N19</f>
        <v/>
      </c>
      <c r="O20" s="38">
        <f>O18-O19</f>
        <v/>
      </c>
      <c r="P20" s="38">
        <f>P18-P19</f>
        <v/>
      </c>
      <c r="Q20" s="38">
        <f>Q18-Q19</f>
        <v/>
      </c>
      <c r="R20" s="38">
        <f>R18-R19</f>
        <v/>
      </c>
      <c r="S20" s="38">
        <f>S18-S19</f>
        <v/>
      </c>
      <c r="T20" s="38">
        <f>T18-T19</f>
        <v/>
      </c>
      <c r="U20" s="38">
        <f>U18-U19</f>
        <v/>
      </c>
      <c r="V20" s="38">
        <f>V18-V19</f>
        <v/>
      </c>
      <c r="W20" s="38">
        <f>W18-W19</f>
        <v/>
      </c>
      <c r="X20" s="38">
        <f>X18-X19</f>
        <v/>
      </c>
      <c r="Y20" s="38">
        <f>Y18-Y19</f>
        <v/>
      </c>
      <c r="Z20" s="38">
        <f>Z18-Z19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35" t="inlineStr">
        <is>
          <t>INGRESOS</t>
        </is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>
      <c r="A23" s="5" t="inlineStr">
        <is>
          <t>Fundadores</t>
        </is>
      </c>
      <c r="B23" s="2" t="n"/>
      <c r="C23" s="12">
        <f>C14*IF(C5=1,Supuestos!$B$8,Supuestos!$B$7)/(1+Supuestos!$B$10)</f>
        <v/>
      </c>
      <c r="D23" s="12">
        <f>D14*IF(D5=1,Supuestos!$B$8,Supuestos!$B$7)/(1+Supuestos!$B$10)</f>
        <v/>
      </c>
      <c r="E23" s="12">
        <f>E14*IF(E5=1,Supuestos!$B$8,Supuestos!$B$7)/(1+Supuestos!$B$10)</f>
        <v/>
      </c>
      <c r="F23" s="12">
        <f>F14*IF(F5=1,Supuestos!$B$8,Supuestos!$B$7)/(1+Supuestos!$B$10)</f>
        <v/>
      </c>
      <c r="G23" s="12">
        <f>G14*IF(G5=1,Supuestos!$B$8,Supuestos!$B$7)/(1+Supuestos!$B$10)</f>
        <v/>
      </c>
      <c r="H23" s="12">
        <f>H14*IF(H5=1,Supuestos!$B$8,Supuestos!$B$7)/(1+Supuestos!$B$10)</f>
        <v/>
      </c>
      <c r="I23" s="12">
        <f>I14*IF(I5=1,Supuestos!$B$8,Supuestos!$B$7)/(1+Supuestos!$B$10)</f>
        <v/>
      </c>
      <c r="J23" s="12">
        <f>J14*IF(J5=1,Supuestos!$B$8,Supuestos!$B$7)/(1+Supuestos!$B$10)</f>
        <v/>
      </c>
      <c r="K23" s="12">
        <f>K14*IF(K5=1,Supuestos!$B$8,Supuestos!$B$7)/(1+Supuestos!$B$10)</f>
        <v/>
      </c>
      <c r="L23" s="12">
        <f>L14*IF(L5=1,Supuestos!$B$8,Supuestos!$B$7)/(1+Supuestos!$B$10)</f>
        <v/>
      </c>
      <c r="M23" s="12">
        <f>M14*IF(M5=1,Supuestos!$B$8,Supuestos!$B$7)/(1+Supuestos!$B$10)</f>
        <v/>
      </c>
      <c r="N23" s="12">
        <f>N14*IF(N5=1,Supuestos!$B$8,Supuestos!$B$7)/(1+Supuestos!$B$10)</f>
        <v/>
      </c>
      <c r="O23" s="12">
        <f>O14*IF(O5=1,Supuestos!$B$8,Supuestos!$B$7)/(1+Supuestos!$B$10)</f>
        <v/>
      </c>
      <c r="P23" s="12">
        <f>P14*IF(P5=1,Supuestos!$B$8,Supuestos!$B$7)/(1+Supuestos!$B$10)</f>
        <v/>
      </c>
      <c r="Q23" s="12">
        <f>Q14*IF(Q5=1,Supuestos!$B$8,Supuestos!$B$7)/(1+Supuestos!$B$10)</f>
        <v/>
      </c>
      <c r="R23" s="12">
        <f>R14*IF(R5=1,Supuestos!$B$8,Supuestos!$B$7)/(1+Supuestos!$B$10)</f>
        <v/>
      </c>
      <c r="S23" s="12">
        <f>S14*IF(S5=1,Supuestos!$B$8,Supuestos!$B$7)/(1+Supuestos!$B$10)</f>
        <v/>
      </c>
      <c r="T23" s="12">
        <f>T14*IF(T5=1,Supuestos!$B$8,Supuestos!$B$7)/(1+Supuestos!$B$10)</f>
        <v/>
      </c>
      <c r="U23" s="12">
        <f>U14*IF(U5=1,Supuestos!$B$8,Supuestos!$B$7)/(1+Supuestos!$B$10)</f>
        <v/>
      </c>
      <c r="V23" s="12">
        <f>V14*IF(V5=1,Supuestos!$B$8,Supuestos!$B$7)/(1+Supuestos!$B$10)</f>
        <v/>
      </c>
      <c r="W23" s="12">
        <f>W14*IF(W5=1,Supuestos!$B$8,Supuestos!$B$7)/(1+Supuestos!$B$10)</f>
        <v/>
      </c>
      <c r="X23" s="12">
        <f>X14*IF(X5=1,Supuestos!$B$8,Supuestos!$B$7)/(1+Supuestos!$B$10)</f>
        <v/>
      </c>
      <c r="Y23" s="12">
        <f>Y14*IF(Y5=1,Supuestos!$B$8,Supuestos!$B$7)/(1+Supuestos!$B$10)</f>
        <v/>
      </c>
      <c r="Z23" s="12">
        <f>Z14*IF(Z5=1,Supuestos!$B$8,Supuestos!$B$7)/(1+Supuestos!$B$10)</f>
        <v/>
      </c>
    </row>
    <row r="24">
      <c r="A24" s="5" t="inlineStr">
        <is>
          <t>Plan Red</t>
        </is>
      </c>
      <c r="B24" s="2" t="n"/>
      <c r="C24" s="12">
        <f>C16*Supuestos!$B$5/(1+Supuestos!$B$10)</f>
        <v/>
      </c>
      <c r="D24" s="12">
        <f>D16*Supuestos!$B$5/(1+Supuestos!$B$10)</f>
        <v/>
      </c>
      <c r="E24" s="12">
        <f>E16*Supuestos!$B$5/(1+Supuestos!$B$10)</f>
        <v/>
      </c>
      <c r="F24" s="12">
        <f>F16*Supuestos!$B$5/(1+Supuestos!$B$10)</f>
        <v/>
      </c>
      <c r="G24" s="12">
        <f>G16*Supuestos!$B$5/(1+Supuestos!$B$10)</f>
        <v/>
      </c>
      <c r="H24" s="12">
        <f>H16*Supuestos!$B$5/(1+Supuestos!$B$10)</f>
        <v/>
      </c>
      <c r="I24" s="12">
        <f>I16*Supuestos!$B$5/(1+Supuestos!$B$10)</f>
        <v/>
      </c>
      <c r="J24" s="12">
        <f>J16*Supuestos!$B$5/(1+Supuestos!$B$10)</f>
        <v/>
      </c>
      <c r="K24" s="12">
        <f>K16*Supuestos!$B$5/(1+Supuestos!$B$10)</f>
        <v/>
      </c>
      <c r="L24" s="12">
        <f>L16*Supuestos!$B$5/(1+Supuestos!$B$10)</f>
        <v/>
      </c>
      <c r="M24" s="12">
        <f>M16*Supuestos!$B$5/(1+Supuestos!$B$10)</f>
        <v/>
      </c>
      <c r="N24" s="12">
        <f>N16*Supuestos!$B$5/(1+Supuestos!$B$10)</f>
        <v/>
      </c>
      <c r="O24" s="12">
        <f>O16*Supuestos!$B$5/(1+Supuestos!$B$10)</f>
        <v/>
      </c>
      <c r="P24" s="12">
        <f>P16*Supuestos!$B$5/(1+Supuestos!$B$10)</f>
        <v/>
      </c>
      <c r="Q24" s="12">
        <f>Q16*Supuestos!$B$5/(1+Supuestos!$B$10)</f>
        <v/>
      </c>
      <c r="R24" s="12">
        <f>R16*Supuestos!$B$5/(1+Supuestos!$B$10)</f>
        <v/>
      </c>
      <c r="S24" s="12">
        <f>S16*Supuestos!$B$5/(1+Supuestos!$B$10)</f>
        <v/>
      </c>
      <c r="T24" s="12">
        <f>T16*Supuestos!$B$5/(1+Supuestos!$B$10)</f>
        <v/>
      </c>
      <c r="U24" s="12">
        <f>U16*Supuestos!$B$5/(1+Supuestos!$B$10)</f>
        <v/>
      </c>
      <c r="V24" s="12">
        <f>V16*Supuestos!$B$5/(1+Supuestos!$B$10)</f>
        <v/>
      </c>
      <c r="W24" s="12">
        <f>W16*Supuestos!$B$5/(1+Supuestos!$B$10)</f>
        <v/>
      </c>
      <c r="X24" s="12">
        <f>X16*Supuestos!$B$5/(1+Supuestos!$B$10)</f>
        <v/>
      </c>
      <c r="Y24" s="12">
        <f>Y16*Supuestos!$B$5/(1+Supuestos!$B$10)</f>
        <v/>
      </c>
      <c r="Z24" s="12">
        <f>Z16*Supuestos!$B$5/(1+Supuestos!$B$10)</f>
        <v/>
      </c>
    </row>
    <row r="25">
      <c r="A25" s="5" t="inlineStr">
        <is>
          <t>Plan Clínico</t>
        </is>
      </c>
      <c r="B25" s="2" t="n"/>
      <c r="C25" s="12">
        <f>C17*Supuestos!$B$6/(1+Supuestos!$B$10)</f>
        <v/>
      </c>
      <c r="D25" s="12">
        <f>D17*Supuestos!$B$6/(1+Supuestos!$B$10)</f>
        <v/>
      </c>
      <c r="E25" s="12">
        <f>E17*Supuestos!$B$6/(1+Supuestos!$B$10)</f>
        <v/>
      </c>
      <c r="F25" s="12">
        <f>F17*Supuestos!$B$6/(1+Supuestos!$B$10)</f>
        <v/>
      </c>
      <c r="G25" s="12">
        <f>G17*Supuestos!$B$6/(1+Supuestos!$B$10)</f>
        <v/>
      </c>
      <c r="H25" s="12">
        <f>H17*Supuestos!$B$6/(1+Supuestos!$B$10)</f>
        <v/>
      </c>
      <c r="I25" s="12">
        <f>I17*Supuestos!$B$6/(1+Supuestos!$B$10)</f>
        <v/>
      </c>
      <c r="J25" s="12">
        <f>J17*Supuestos!$B$6/(1+Supuestos!$B$10)</f>
        <v/>
      </c>
      <c r="K25" s="12">
        <f>K17*Supuestos!$B$6/(1+Supuestos!$B$10)</f>
        <v/>
      </c>
      <c r="L25" s="12">
        <f>L17*Supuestos!$B$6/(1+Supuestos!$B$10)</f>
        <v/>
      </c>
      <c r="M25" s="12">
        <f>M17*Supuestos!$B$6/(1+Supuestos!$B$10)</f>
        <v/>
      </c>
      <c r="N25" s="12">
        <f>N17*Supuestos!$B$6/(1+Supuestos!$B$10)</f>
        <v/>
      </c>
      <c r="O25" s="12">
        <f>O17*Supuestos!$B$6/(1+Supuestos!$B$10)</f>
        <v/>
      </c>
      <c r="P25" s="12">
        <f>P17*Supuestos!$B$6/(1+Supuestos!$B$10)</f>
        <v/>
      </c>
      <c r="Q25" s="12">
        <f>Q17*Supuestos!$B$6/(1+Supuestos!$B$10)</f>
        <v/>
      </c>
      <c r="R25" s="12">
        <f>R17*Supuestos!$B$6/(1+Supuestos!$B$10)</f>
        <v/>
      </c>
      <c r="S25" s="12">
        <f>S17*Supuestos!$B$6/(1+Supuestos!$B$10)</f>
        <v/>
      </c>
      <c r="T25" s="12">
        <f>T17*Supuestos!$B$6/(1+Supuestos!$B$10)</f>
        <v/>
      </c>
      <c r="U25" s="12">
        <f>U17*Supuestos!$B$6/(1+Supuestos!$B$10)</f>
        <v/>
      </c>
      <c r="V25" s="12">
        <f>V17*Supuestos!$B$6/(1+Supuestos!$B$10)</f>
        <v/>
      </c>
      <c r="W25" s="12">
        <f>W17*Supuestos!$B$6/(1+Supuestos!$B$10)</f>
        <v/>
      </c>
      <c r="X25" s="12">
        <f>X17*Supuestos!$B$6/(1+Supuestos!$B$10)</f>
        <v/>
      </c>
      <c r="Y25" s="12">
        <f>Y17*Supuestos!$B$6/(1+Supuestos!$B$10)</f>
        <v/>
      </c>
      <c r="Z25" s="12">
        <f>Z17*Supuestos!$B$6/(1+Supuestos!$B$10)</f>
        <v/>
      </c>
    </row>
    <row r="26">
      <c r="A26" s="39" t="inlineStr">
        <is>
          <t>Ingreso recurrente mensual (MRR)</t>
        </is>
      </c>
      <c r="B26" s="40" t="n"/>
      <c r="C26" s="41">
        <f>C23+C24+C25</f>
        <v/>
      </c>
      <c r="D26" s="41">
        <f>D23+D24+D25</f>
        <v/>
      </c>
      <c r="E26" s="41">
        <f>E23+E24+E25</f>
        <v/>
      </c>
      <c r="F26" s="41">
        <f>F23+F24+F25</f>
        <v/>
      </c>
      <c r="G26" s="41">
        <f>G23+G24+G25</f>
        <v/>
      </c>
      <c r="H26" s="41">
        <f>H23+H24+H25</f>
        <v/>
      </c>
      <c r="I26" s="41">
        <f>I23+I24+I25</f>
        <v/>
      </c>
      <c r="J26" s="41">
        <f>J23+J24+J25</f>
        <v/>
      </c>
      <c r="K26" s="41">
        <f>K23+K24+K25</f>
        <v/>
      </c>
      <c r="L26" s="41">
        <f>L23+L24+L25</f>
        <v/>
      </c>
      <c r="M26" s="41">
        <f>M23+M24+M25</f>
        <v/>
      </c>
      <c r="N26" s="41">
        <f>N23+N24+N25</f>
        <v/>
      </c>
      <c r="O26" s="41">
        <f>O23+O24+O25</f>
        <v/>
      </c>
      <c r="P26" s="41">
        <f>P23+P24+P25</f>
        <v/>
      </c>
      <c r="Q26" s="41">
        <f>Q23+Q24+Q25</f>
        <v/>
      </c>
      <c r="R26" s="41">
        <f>R23+R24+R25</f>
        <v/>
      </c>
      <c r="S26" s="41">
        <f>S23+S24+S25</f>
        <v/>
      </c>
      <c r="T26" s="41">
        <f>T23+T24+T25</f>
        <v/>
      </c>
      <c r="U26" s="41">
        <f>U23+U24+U25</f>
        <v/>
      </c>
      <c r="V26" s="41">
        <f>V23+V24+V25</f>
        <v/>
      </c>
      <c r="W26" s="41">
        <f>W23+W24+W25</f>
        <v/>
      </c>
      <c r="X26" s="41">
        <f>X23+X24+X25</f>
        <v/>
      </c>
      <c r="Y26" s="41">
        <f>Y23+Y24+Y25</f>
        <v/>
      </c>
      <c r="Z26" s="41">
        <f>Z23+Z24+Z25</f>
        <v/>
      </c>
    </row>
    <row r="27">
      <c r="A27" s="5" t="inlineStr">
        <is>
          <t>Migraciones vendidas</t>
        </is>
      </c>
      <c r="B27" s="2" t="n"/>
      <c r="C27" s="38">
        <f>(C12+C15)*Supuestos!$D$48</f>
        <v/>
      </c>
      <c r="D27" s="38">
        <f>(D12+D15)*Supuestos!$D$48</f>
        <v/>
      </c>
      <c r="E27" s="38">
        <f>(E12+E15)*Supuestos!$D$48</f>
        <v/>
      </c>
      <c r="F27" s="38">
        <f>(F12+F15)*Supuestos!$D$48</f>
        <v/>
      </c>
      <c r="G27" s="38">
        <f>(G12+G15)*Supuestos!$D$48</f>
        <v/>
      </c>
      <c r="H27" s="38">
        <f>(H12+H15)*Supuestos!$D$48</f>
        <v/>
      </c>
      <c r="I27" s="38">
        <f>(I12+I15)*Supuestos!$D$48</f>
        <v/>
      </c>
      <c r="J27" s="38">
        <f>(J12+J15)*Supuestos!$D$48</f>
        <v/>
      </c>
      <c r="K27" s="38">
        <f>(K12+K15)*Supuestos!$D$48</f>
        <v/>
      </c>
      <c r="L27" s="38">
        <f>(L12+L15)*Supuestos!$D$48</f>
        <v/>
      </c>
      <c r="M27" s="38">
        <f>(M12+M15)*Supuestos!$D$48</f>
        <v/>
      </c>
      <c r="N27" s="38">
        <f>(N12+N15)*Supuestos!$D$48</f>
        <v/>
      </c>
      <c r="O27" s="38">
        <f>(O12+O15)*Supuestos!$D$48</f>
        <v/>
      </c>
      <c r="P27" s="38">
        <f>(P12+P15)*Supuestos!$D$48</f>
        <v/>
      </c>
      <c r="Q27" s="38">
        <f>(Q12+Q15)*Supuestos!$D$48</f>
        <v/>
      </c>
      <c r="R27" s="38">
        <f>(R12+R15)*Supuestos!$D$48</f>
        <v/>
      </c>
      <c r="S27" s="38">
        <f>(S12+S15)*Supuestos!$D$48</f>
        <v/>
      </c>
      <c r="T27" s="38">
        <f>(T12+T15)*Supuestos!$D$48</f>
        <v/>
      </c>
      <c r="U27" s="38">
        <f>(U12+U15)*Supuestos!$D$48</f>
        <v/>
      </c>
      <c r="V27" s="38">
        <f>(V12+V15)*Supuestos!$D$48</f>
        <v/>
      </c>
      <c r="W27" s="38">
        <f>(W12+W15)*Supuestos!$D$48</f>
        <v/>
      </c>
      <c r="X27" s="38">
        <f>(X12+X15)*Supuestos!$D$48</f>
        <v/>
      </c>
      <c r="Y27" s="38">
        <f>(Y12+Y15)*Supuestos!$D$48</f>
        <v/>
      </c>
      <c r="Z27" s="38">
        <f>(Z12+Z15)*Supuestos!$D$48</f>
        <v/>
      </c>
    </row>
    <row r="28">
      <c r="A28" s="5" t="inlineStr">
        <is>
          <t>Ingreso por migraciones</t>
        </is>
      </c>
      <c r="B28" s="2" t="n"/>
      <c r="C28" s="12">
        <f>C27*Supuestos!$B$37*Supuestos!$B$11/(1+Supuestos!$B$10)</f>
        <v/>
      </c>
      <c r="D28" s="12">
        <f>D27*Supuestos!$B$37*Supuestos!$B$11/(1+Supuestos!$B$10)</f>
        <v/>
      </c>
      <c r="E28" s="12">
        <f>E27*Supuestos!$B$37*Supuestos!$B$11/(1+Supuestos!$B$10)</f>
        <v/>
      </c>
      <c r="F28" s="12">
        <f>F27*Supuestos!$B$37*Supuestos!$B$11/(1+Supuestos!$B$10)</f>
        <v/>
      </c>
      <c r="G28" s="12">
        <f>G27*Supuestos!$B$37*Supuestos!$B$11/(1+Supuestos!$B$10)</f>
        <v/>
      </c>
      <c r="H28" s="12">
        <f>H27*Supuestos!$B$37*Supuestos!$B$11/(1+Supuestos!$B$10)</f>
        <v/>
      </c>
      <c r="I28" s="12">
        <f>I27*Supuestos!$B$37*Supuestos!$B$11/(1+Supuestos!$B$10)</f>
        <v/>
      </c>
      <c r="J28" s="12">
        <f>J27*Supuestos!$B$37*Supuestos!$B$11/(1+Supuestos!$B$10)</f>
        <v/>
      </c>
      <c r="K28" s="12">
        <f>K27*Supuestos!$B$37*Supuestos!$B$11/(1+Supuestos!$B$10)</f>
        <v/>
      </c>
      <c r="L28" s="12">
        <f>L27*Supuestos!$B$37*Supuestos!$B$11/(1+Supuestos!$B$10)</f>
        <v/>
      </c>
      <c r="M28" s="12">
        <f>M27*Supuestos!$B$37*Supuestos!$B$11/(1+Supuestos!$B$10)</f>
        <v/>
      </c>
      <c r="N28" s="12">
        <f>N27*Supuestos!$B$37*Supuestos!$B$11/(1+Supuestos!$B$10)</f>
        <v/>
      </c>
      <c r="O28" s="12">
        <f>O27*Supuestos!$B$37*Supuestos!$B$11/(1+Supuestos!$B$10)</f>
        <v/>
      </c>
      <c r="P28" s="12">
        <f>P27*Supuestos!$B$37*Supuestos!$B$11/(1+Supuestos!$B$10)</f>
        <v/>
      </c>
      <c r="Q28" s="12">
        <f>Q27*Supuestos!$B$37*Supuestos!$B$11/(1+Supuestos!$B$10)</f>
        <v/>
      </c>
      <c r="R28" s="12">
        <f>R27*Supuestos!$B$37*Supuestos!$B$11/(1+Supuestos!$B$10)</f>
        <v/>
      </c>
      <c r="S28" s="12">
        <f>S27*Supuestos!$B$37*Supuestos!$B$11/(1+Supuestos!$B$10)</f>
        <v/>
      </c>
      <c r="T28" s="12">
        <f>T27*Supuestos!$B$37*Supuestos!$B$11/(1+Supuestos!$B$10)</f>
        <v/>
      </c>
      <c r="U28" s="12">
        <f>U27*Supuestos!$B$37*Supuestos!$B$11/(1+Supuestos!$B$10)</f>
        <v/>
      </c>
      <c r="V28" s="12">
        <f>V27*Supuestos!$B$37*Supuestos!$B$11/(1+Supuestos!$B$10)</f>
        <v/>
      </c>
      <c r="W28" s="12">
        <f>W27*Supuestos!$B$37*Supuestos!$B$11/(1+Supuestos!$B$10)</f>
        <v/>
      </c>
      <c r="X28" s="12">
        <f>X27*Supuestos!$B$37*Supuestos!$B$11/(1+Supuestos!$B$10)</f>
        <v/>
      </c>
      <c r="Y28" s="12">
        <f>Y27*Supuestos!$B$37*Supuestos!$B$11/(1+Supuestos!$B$10)</f>
        <v/>
      </c>
      <c r="Z28" s="12">
        <f>Z27*Supuestos!$B$37*Supuestos!$B$11/(1+Supuestos!$B$10)</f>
        <v/>
      </c>
    </row>
    <row r="29">
      <c r="A29" s="39" t="inlineStr">
        <is>
          <t>INGRESO TOTAL</t>
        </is>
      </c>
      <c r="B29" s="40" t="n"/>
      <c r="C29" s="41">
        <f>C26+C28</f>
        <v/>
      </c>
      <c r="D29" s="41">
        <f>D26+D28</f>
        <v/>
      </c>
      <c r="E29" s="41">
        <f>E26+E28</f>
        <v/>
      </c>
      <c r="F29" s="41">
        <f>F26+F28</f>
        <v/>
      </c>
      <c r="G29" s="41">
        <f>G26+G28</f>
        <v/>
      </c>
      <c r="H29" s="41">
        <f>H26+H28</f>
        <v/>
      </c>
      <c r="I29" s="41">
        <f>I26+I28</f>
        <v/>
      </c>
      <c r="J29" s="41">
        <f>J26+J28</f>
        <v/>
      </c>
      <c r="K29" s="41">
        <f>K26+K28</f>
        <v/>
      </c>
      <c r="L29" s="41">
        <f>L26+L28</f>
        <v/>
      </c>
      <c r="M29" s="41">
        <f>M26+M28</f>
        <v/>
      </c>
      <c r="N29" s="41">
        <f>N26+N28</f>
        <v/>
      </c>
      <c r="O29" s="41">
        <f>O26+O28</f>
        <v/>
      </c>
      <c r="P29" s="41">
        <f>P26+P28</f>
        <v/>
      </c>
      <c r="Q29" s="41">
        <f>Q26+Q28</f>
        <v/>
      </c>
      <c r="R29" s="41">
        <f>R26+R28</f>
        <v/>
      </c>
      <c r="S29" s="41">
        <f>S26+S28</f>
        <v/>
      </c>
      <c r="T29" s="41">
        <f>T26+T28</f>
        <v/>
      </c>
      <c r="U29" s="41">
        <f>U26+U28</f>
        <v/>
      </c>
      <c r="V29" s="41">
        <f>V26+V28</f>
        <v/>
      </c>
      <c r="W29" s="41">
        <f>W26+W28</f>
        <v/>
      </c>
      <c r="X29" s="41">
        <f>X26+X28</f>
        <v/>
      </c>
      <c r="Y29" s="41">
        <f>Y26+Y28</f>
        <v/>
      </c>
      <c r="Z29" s="41">
        <f>Z26+Z28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35" t="inlineStr">
        <is>
          <t>COSTOS VARIABLES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>
      <c r="A32" s="5" t="inlineStr">
        <is>
          <t>IA (NOVA) + almacenamiento</t>
        </is>
      </c>
      <c r="B32" s="2" t="n"/>
      <c r="C32" s="12">
        <f>(C20*Supuestos!$B$17+C19*(Supuestos!$B$18+Supuestos!$B$19))*Supuestos!$B$14</f>
        <v/>
      </c>
      <c r="D32" s="12">
        <f>(D20*Supuestos!$B$17+D19*(Supuestos!$B$18+Supuestos!$B$19))*Supuestos!$B$14</f>
        <v/>
      </c>
      <c r="E32" s="12">
        <f>(E20*Supuestos!$B$17+E19*(Supuestos!$B$18+Supuestos!$B$19))*Supuestos!$B$14</f>
        <v/>
      </c>
      <c r="F32" s="12">
        <f>(F20*Supuestos!$B$17+F19*(Supuestos!$B$18+Supuestos!$B$19))*Supuestos!$B$14</f>
        <v/>
      </c>
      <c r="G32" s="12">
        <f>(G20*Supuestos!$B$17+G19*(Supuestos!$B$18+Supuestos!$B$19))*Supuestos!$B$14</f>
        <v/>
      </c>
      <c r="H32" s="12">
        <f>(H20*Supuestos!$B$17+H19*(Supuestos!$B$18+Supuestos!$B$19))*Supuestos!$B$14</f>
        <v/>
      </c>
      <c r="I32" s="12">
        <f>(I20*Supuestos!$B$17+I19*(Supuestos!$B$18+Supuestos!$B$19))*Supuestos!$B$14</f>
        <v/>
      </c>
      <c r="J32" s="12">
        <f>(J20*Supuestos!$B$17+J19*(Supuestos!$B$18+Supuestos!$B$19))*Supuestos!$B$14</f>
        <v/>
      </c>
      <c r="K32" s="12">
        <f>(K20*Supuestos!$B$17+K19*(Supuestos!$B$18+Supuestos!$B$19))*Supuestos!$B$14</f>
        <v/>
      </c>
      <c r="L32" s="12">
        <f>(L20*Supuestos!$B$17+L19*(Supuestos!$B$18+Supuestos!$B$19))*Supuestos!$B$14</f>
        <v/>
      </c>
      <c r="M32" s="12">
        <f>(M20*Supuestos!$B$17+M19*(Supuestos!$B$18+Supuestos!$B$19))*Supuestos!$B$14</f>
        <v/>
      </c>
      <c r="N32" s="12">
        <f>(N20*Supuestos!$B$17+N19*(Supuestos!$B$18+Supuestos!$B$19))*Supuestos!$B$14</f>
        <v/>
      </c>
      <c r="O32" s="12">
        <f>(O20*Supuestos!$B$17+O19*(Supuestos!$B$18+Supuestos!$B$19))*Supuestos!$B$14</f>
        <v/>
      </c>
      <c r="P32" s="12">
        <f>(P20*Supuestos!$B$17+P19*(Supuestos!$B$18+Supuestos!$B$19))*Supuestos!$B$14</f>
        <v/>
      </c>
      <c r="Q32" s="12">
        <f>(Q20*Supuestos!$B$17+Q19*(Supuestos!$B$18+Supuestos!$B$19))*Supuestos!$B$14</f>
        <v/>
      </c>
      <c r="R32" s="12">
        <f>(R20*Supuestos!$B$17+R19*(Supuestos!$B$18+Supuestos!$B$19))*Supuestos!$B$14</f>
        <v/>
      </c>
      <c r="S32" s="12">
        <f>(S20*Supuestos!$B$17+S19*(Supuestos!$B$18+Supuestos!$B$19))*Supuestos!$B$14</f>
        <v/>
      </c>
      <c r="T32" s="12">
        <f>(T20*Supuestos!$B$17+T19*(Supuestos!$B$18+Supuestos!$B$19))*Supuestos!$B$14</f>
        <v/>
      </c>
      <c r="U32" s="12">
        <f>(U20*Supuestos!$B$17+U19*(Supuestos!$B$18+Supuestos!$B$19))*Supuestos!$B$14</f>
        <v/>
      </c>
      <c r="V32" s="12">
        <f>(V20*Supuestos!$B$17+V19*(Supuestos!$B$18+Supuestos!$B$19))*Supuestos!$B$14</f>
        <v/>
      </c>
      <c r="W32" s="12">
        <f>(W20*Supuestos!$B$17+W19*(Supuestos!$B$18+Supuestos!$B$19))*Supuestos!$B$14</f>
        <v/>
      </c>
      <c r="X32" s="12">
        <f>(X20*Supuestos!$B$17+X19*(Supuestos!$B$18+Supuestos!$B$19))*Supuestos!$B$14</f>
        <v/>
      </c>
      <c r="Y32" s="12">
        <f>(Y20*Supuestos!$B$17+Y19*(Supuestos!$B$18+Supuestos!$B$19))*Supuestos!$B$14</f>
        <v/>
      </c>
      <c r="Z32" s="12">
        <f>(Z20*Supuestos!$B$17+Z19*(Supuestos!$B$18+Supuestos!$B$19))*Supuestos!$B$14</f>
        <v/>
      </c>
    </row>
    <row r="33">
      <c r="A33" s="5" t="inlineStr">
        <is>
          <t>Comisión de cobro (con IVA de la comisión)</t>
        </is>
      </c>
      <c r="B33" s="2" t="n"/>
      <c r="C33" s="12">
        <f>((C18+C27)*Supuestos!$B$23+C29*(1+Supuestos!$B$10)*Supuestos!$B$22)*(1+Supuestos!$B$10)</f>
        <v/>
      </c>
      <c r="D33" s="12">
        <f>((D18+D27)*Supuestos!$B$23+D29*(1+Supuestos!$B$10)*Supuestos!$B$22)*(1+Supuestos!$B$10)</f>
        <v/>
      </c>
      <c r="E33" s="12">
        <f>((E18+E27)*Supuestos!$B$23+E29*(1+Supuestos!$B$10)*Supuestos!$B$22)*(1+Supuestos!$B$10)</f>
        <v/>
      </c>
      <c r="F33" s="12">
        <f>((F18+F27)*Supuestos!$B$23+F29*(1+Supuestos!$B$10)*Supuestos!$B$22)*(1+Supuestos!$B$10)</f>
        <v/>
      </c>
      <c r="G33" s="12">
        <f>((G18+G27)*Supuestos!$B$23+G29*(1+Supuestos!$B$10)*Supuestos!$B$22)*(1+Supuestos!$B$10)</f>
        <v/>
      </c>
      <c r="H33" s="12">
        <f>((H18+H27)*Supuestos!$B$23+H29*(1+Supuestos!$B$10)*Supuestos!$B$22)*(1+Supuestos!$B$10)</f>
        <v/>
      </c>
      <c r="I33" s="12">
        <f>((I18+I27)*Supuestos!$B$23+I29*(1+Supuestos!$B$10)*Supuestos!$B$22)*(1+Supuestos!$B$10)</f>
        <v/>
      </c>
      <c r="J33" s="12">
        <f>((J18+J27)*Supuestos!$B$23+J29*(1+Supuestos!$B$10)*Supuestos!$B$22)*(1+Supuestos!$B$10)</f>
        <v/>
      </c>
      <c r="K33" s="12">
        <f>((K18+K27)*Supuestos!$B$23+K29*(1+Supuestos!$B$10)*Supuestos!$B$22)*(1+Supuestos!$B$10)</f>
        <v/>
      </c>
      <c r="L33" s="12">
        <f>((L18+L27)*Supuestos!$B$23+L29*(1+Supuestos!$B$10)*Supuestos!$B$22)*(1+Supuestos!$B$10)</f>
        <v/>
      </c>
      <c r="M33" s="12">
        <f>((M18+M27)*Supuestos!$B$23+M29*(1+Supuestos!$B$10)*Supuestos!$B$22)*(1+Supuestos!$B$10)</f>
        <v/>
      </c>
      <c r="N33" s="12">
        <f>((N18+N27)*Supuestos!$B$23+N29*(1+Supuestos!$B$10)*Supuestos!$B$22)*(1+Supuestos!$B$10)</f>
        <v/>
      </c>
      <c r="O33" s="12">
        <f>((O18+O27)*Supuestos!$B$23+O29*(1+Supuestos!$B$10)*Supuestos!$B$22)*(1+Supuestos!$B$10)</f>
        <v/>
      </c>
      <c r="P33" s="12">
        <f>((P18+P27)*Supuestos!$B$23+P29*(1+Supuestos!$B$10)*Supuestos!$B$22)*(1+Supuestos!$B$10)</f>
        <v/>
      </c>
      <c r="Q33" s="12">
        <f>((Q18+Q27)*Supuestos!$B$23+Q29*(1+Supuestos!$B$10)*Supuestos!$B$22)*(1+Supuestos!$B$10)</f>
        <v/>
      </c>
      <c r="R33" s="12">
        <f>((R18+R27)*Supuestos!$B$23+R29*(1+Supuestos!$B$10)*Supuestos!$B$22)*(1+Supuestos!$B$10)</f>
        <v/>
      </c>
      <c r="S33" s="12">
        <f>((S18+S27)*Supuestos!$B$23+S29*(1+Supuestos!$B$10)*Supuestos!$B$22)*(1+Supuestos!$B$10)</f>
        <v/>
      </c>
      <c r="T33" s="12">
        <f>((T18+T27)*Supuestos!$B$23+T29*(1+Supuestos!$B$10)*Supuestos!$B$22)*(1+Supuestos!$B$10)</f>
        <v/>
      </c>
      <c r="U33" s="12">
        <f>((U18+U27)*Supuestos!$B$23+U29*(1+Supuestos!$B$10)*Supuestos!$B$22)*(1+Supuestos!$B$10)</f>
        <v/>
      </c>
      <c r="V33" s="12">
        <f>((V18+V27)*Supuestos!$B$23+V29*(1+Supuestos!$B$10)*Supuestos!$B$22)*(1+Supuestos!$B$10)</f>
        <v/>
      </c>
      <c r="W33" s="12">
        <f>((W18+W27)*Supuestos!$B$23+W29*(1+Supuestos!$B$10)*Supuestos!$B$22)*(1+Supuestos!$B$10)</f>
        <v/>
      </c>
      <c r="X33" s="12">
        <f>((X18+X27)*Supuestos!$B$23+X29*(1+Supuestos!$B$10)*Supuestos!$B$22)*(1+Supuestos!$B$10)</f>
        <v/>
      </c>
      <c r="Y33" s="12">
        <f>((Y18+Y27)*Supuestos!$B$23+Y29*(1+Supuestos!$B$10)*Supuestos!$B$22)*(1+Supuestos!$B$10)</f>
        <v/>
      </c>
      <c r="Z33" s="12">
        <f>((Z18+Z27)*Supuestos!$B$23+Z29*(1+Supuestos!$B$10)*Supuestos!$B$22)*(1+Supuestos!$B$10)</f>
        <v/>
      </c>
    </row>
    <row r="34">
      <c r="A34" s="5" t="inlineStr">
        <is>
          <t>Facturas CFDI</t>
        </is>
      </c>
      <c r="B34" s="2" t="n"/>
      <c r="C34" s="12">
        <f>(C18+C27)*Supuestos!$B$24</f>
        <v/>
      </c>
      <c r="D34" s="12">
        <f>(D18+D27)*Supuestos!$B$24</f>
        <v/>
      </c>
      <c r="E34" s="12">
        <f>(E18+E27)*Supuestos!$B$24</f>
        <v/>
      </c>
      <c r="F34" s="12">
        <f>(F18+F27)*Supuestos!$B$24</f>
        <v/>
      </c>
      <c r="G34" s="12">
        <f>(G18+G27)*Supuestos!$B$24</f>
        <v/>
      </c>
      <c r="H34" s="12">
        <f>(H18+H27)*Supuestos!$B$24</f>
        <v/>
      </c>
      <c r="I34" s="12">
        <f>(I18+I27)*Supuestos!$B$24</f>
        <v/>
      </c>
      <c r="J34" s="12">
        <f>(J18+J27)*Supuestos!$B$24</f>
        <v/>
      </c>
      <c r="K34" s="12">
        <f>(K18+K27)*Supuestos!$B$24</f>
        <v/>
      </c>
      <c r="L34" s="12">
        <f>(L18+L27)*Supuestos!$B$24</f>
        <v/>
      </c>
      <c r="M34" s="12">
        <f>(M18+M27)*Supuestos!$B$24</f>
        <v/>
      </c>
      <c r="N34" s="12">
        <f>(N18+N27)*Supuestos!$B$24</f>
        <v/>
      </c>
      <c r="O34" s="12">
        <f>(O18+O27)*Supuestos!$B$24</f>
        <v/>
      </c>
      <c r="P34" s="12">
        <f>(P18+P27)*Supuestos!$B$24</f>
        <v/>
      </c>
      <c r="Q34" s="12">
        <f>(Q18+Q27)*Supuestos!$B$24</f>
        <v/>
      </c>
      <c r="R34" s="12">
        <f>(R18+R27)*Supuestos!$B$24</f>
        <v/>
      </c>
      <c r="S34" s="12">
        <f>(S18+S27)*Supuestos!$B$24</f>
        <v/>
      </c>
      <c r="T34" s="12">
        <f>(T18+T27)*Supuestos!$B$24</f>
        <v/>
      </c>
      <c r="U34" s="12">
        <f>(U18+U27)*Supuestos!$B$24</f>
        <v/>
      </c>
      <c r="V34" s="12">
        <f>(V18+V27)*Supuestos!$B$24</f>
        <v/>
      </c>
      <c r="W34" s="12">
        <f>(W18+W27)*Supuestos!$B$24</f>
        <v/>
      </c>
      <c r="X34" s="12">
        <f>(X18+X27)*Supuestos!$B$24</f>
        <v/>
      </c>
      <c r="Y34" s="12">
        <f>(Y18+Y27)*Supuestos!$B$24</f>
        <v/>
      </c>
      <c r="Z34" s="12">
        <f>(Z18+Z27)*Supuestos!$B$24</f>
        <v/>
      </c>
    </row>
    <row r="35">
      <c r="A35" s="5" t="inlineStr">
        <is>
          <t>Soporte</t>
        </is>
      </c>
      <c r="B35" s="2" t="n"/>
      <c r="C35" s="12">
        <f>C18*Supuestos!$B$28*Supuestos!$B$29</f>
        <v/>
      </c>
      <c r="D35" s="12">
        <f>D18*Supuestos!$B$28*Supuestos!$B$29</f>
        <v/>
      </c>
      <c r="E35" s="12">
        <f>E18*Supuestos!$B$28*Supuestos!$B$29</f>
        <v/>
      </c>
      <c r="F35" s="12">
        <f>F18*Supuestos!$B$28*Supuestos!$B$29</f>
        <v/>
      </c>
      <c r="G35" s="12">
        <f>G18*Supuestos!$B$28*Supuestos!$B$29</f>
        <v/>
      </c>
      <c r="H35" s="12">
        <f>H18*Supuestos!$B$28*Supuestos!$B$29</f>
        <v/>
      </c>
      <c r="I35" s="12">
        <f>I18*Supuestos!$B$28*Supuestos!$B$29</f>
        <v/>
      </c>
      <c r="J35" s="12">
        <f>J18*Supuestos!$B$28*Supuestos!$B$29</f>
        <v/>
      </c>
      <c r="K35" s="12">
        <f>K18*Supuestos!$B$28*Supuestos!$B$29</f>
        <v/>
      </c>
      <c r="L35" s="12">
        <f>L18*Supuestos!$B$28*Supuestos!$B$29</f>
        <v/>
      </c>
      <c r="M35" s="12">
        <f>M18*Supuestos!$B$28*Supuestos!$B$29</f>
        <v/>
      </c>
      <c r="N35" s="12">
        <f>N18*Supuestos!$B$28*Supuestos!$B$29</f>
        <v/>
      </c>
      <c r="O35" s="12">
        <f>O18*Supuestos!$B$28*Supuestos!$B$29</f>
        <v/>
      </c>
      <c r="P35" s="12">
        <f>P18*Supuestos!$B$28*Supuestos!$B$29</f>
        <v/>
      </c>
      <c r="Q35" s="12">
        <f>Q18*Supuestos!$B$28*Supuestos!$B$29</f>
        <v/>
      </c>
      <c r="R35" s="12">
        <f>R18*Supuestos!$B$28*Supuestos!$B$29</f>
        <v/>
      </c>
      <c r="S35" s="12">
        <f>S18*Supuestos!$B$28*Supuestos!$B$29</f>
        <v/>
      </c>
      <c r="T35" s="12">
        <f>T18*Supuestos!$B$28*Supuestos!$B$29</f>
        <v/>
      </c>
      <c r="U35" s="12">
        <f>U18*Supuestos!$B$28*Supuestos!$B$29</f>
        <v/>
      </c>
      <c r="V35" s="12">
        <f>V18*Supuestos!$B$28*Supuestos!$B$29</f>
        <v/>
      </c>
      <c r="W35" s="12">
        <f>W18*Supuestos!$B$28*Supuestos!$B$29</f>
        <v/>
      </c>
      <c r="X35" s="12">
        <f>X18*Supuestos!$B$28*Supuestos!$B$29</f>
        <v/>
      </c>
      <c r="Y35" s="12">
        <f>Y18*Supuestos!$B$28*Supuestos!$B$29</f>
        <v/>
      </c>
      <c r="Z35" s="12">
        <f>Z18*Supuestos!$B$28*Supuestos!$B$29</f>
        <v/>
      </c>
    </row>
    <row r="36">
      <c r="A36" s="5" t="inlineStr">
        <is>
          <t>Producción de migraciones</t>
        </is>
      </c>
      <c r="B36" s="2" t="n"/>
      <c r="C36" s="12">
        <f>C27*Supuestos!$B$37*Supuestos!$B$38*(Supuestos!$B$39*Supuestos!$B$14+Supuestos!$B$40/60*Supuestos!$B$41)</f>
        <v/>
      </c>
      <c r="D36" s="12">
        <f>D27*Supuestos!$B$37*Supuestos!$B$38*(Supuestos!$B$39*Supuestos!$B$14+Supuestos!$B$40/60*Supuestos!$B$41)</f>
        <v/>
      </c>
      <c r="E36" s="12">
        <f>E27*Supuestos!$B$37*Supuestos!$B$38*(Supuestos!$B$39*Supuestos!$B$14+Supuestos!$B$40/60*Supuestos!$B$41)</f>
        <v/>
      </c>
      <c r="F36" s="12">
        <f>F27*Supuestos!$B$37*Supuestos!$B$38*(Supuestos!$B$39*Supuestos!$B$14+Supuestos!$B$40/60*Supuestos!$B$41)</f>
        <v/>
      </c>
      <c r="G36" s="12">
        <f>G27*Supuestos!$B$37*Supuestos!$B$38*(Supuestos!$B$39*Supuestos!$B$14+Supuestos!$B$40/60*Supuestos!$B$41)</f>
        <v/>
      </c>
      <c r="H36" s="12">
        <f>H27*Supuestos!$B$37*Supuestos!$B$38*(Supuestos!$B$39*Supuestos!$B$14+Supuestos!$B$40/60*Supuestos!$B$41)</f>
        <v/>
      </c>
      <c r="I36" s="12">
        <f>I27*Supuestos!$B$37*Supuestos!$B$38*(Supuestos!$B$39*Supuestos!$B$14+Supuestos!$B$40/60*Supuestos!$B$41)</f>
        <v/>
      </c>
      <c r="J36" s="12">
        <f>J27*Supuestos!$B$37*Supuestos!$B$38*(Supuestos!$B$39*Supuestos!$B$14+Supuestos!$B$40/60*Supuestos!$B$41)</f>
        <v/>
      </c>
      <c r="K36" s="12">
        <f>K27*Supuestos!$B$37*Supuestos!$B$38*(Supuestos!$B$39*Supuestos!$B$14+Supuestos!$B$40/60*Supuestos!$B$41)</f>
        <v/>
      </c>
      <c r="L36" s="12">
        <f>L27*Supuestos!$B$37*Supuestos!$B$38*(Supuestos!$B$39*Supuestos!$B$14+Supuestos!$B$40/60*Supuestos!$B$41)</f>
        <v/>
      </c>
      <c r="M36" s="12">
        <f>M27*Supuestos!$B$37*Supuestos!$B$38*(Supuestos!$B$39*Supuestos!$B$14+Supuestos!$B$40/60*Supuestos!$B$41)</f>
        <v/>
      </c>
      <c r="N36" s="12">
        <f>N27*Supuestos!$B$37*Supuestos!$B$38*(Supuestos!$B$39*Supuestos!$B$14+Supuestos!$B$40/60*Supuestos!$B$41)</f>
        <v/>
      </c>
      <c r="O36" s="12">
        <f>O27*Supuestos!$B$37*Supuestos!$B$38*(Supuestos!$B$39*Supuestos!$B$14+Supuestos!$B$40/60*Supuestos!$B$41)</f>
        <v/>
      </c>
      <c r="P36" s="12">
        <f>P27*Supuestos!$B$37*Supuestos!$B$38*(Supuestos!$B$39*Supuestos!$B$14+Supuestos!$B$40/60*Supuestos!$B$41)</f>
        <v/>
      </c>
      <c r="Q36" s="12">
        <f>Q27*Supuestos!$B$37*Supuestos!$B$38*(Supuestos!$B$39*Supuestos!$B$14+Supuestos!$B$40/60*Supuestos!$B$41)</f>
        <v/>
      </c>
      <c r="R36" s="12">
        <f>R27*Supuestos!$B$37*Supuestos!$B$38*(Supuestos!$B$39*Supuestos!$B$14+Supuestos!$B$40/60*Supuestos!$B$41)</f>
        <v/>
      </c>
      <c r="S36" s="12">
        <f>S27*Supuestos!$B$37*Supuestos!$B$38*(Supuestos!$B$39*Supuestos!$B$14+Supuestos!$B$40/60*Supuestos!$B$41)</f>
        <v/>
      </c>
      <c r="T36" s="12">
        <f>T27*Supuestos!$B$37*Supuestos!$B$38*(Supuestos!$B$39*Supuestos!$B$14+Supuestos!$B$40/60*Supuestos!$B$41)</f>
        <v/>
      </c>
      <c r="U36" s="12">
        <f>U27*Supuestos!$B$37*Supuestos!$B$38*(Supuestos!$B$39*Supuestos!$B$14+Supuestos!$B$40/60*Supuestos!$B$41)</f>
        <v/>
      </c>
      <c r="V36" s="12">
        <f>V27*Supuestos!$B$37*Supuestos!$B$38*(Supuestos!$B$39*Supuestos!$B$14+Supuestos!$B$40/60*Supuestos!$B$41)</f>
        <v/>
      </c>
      <c r="W36" s="12">
        <f>W27*Supuestos!$B$37*Supuestos!$B$38*(Supuestos!$B$39*Supuestos!$B$14+Supuestos!$B$40/60*Supuestos!$B$41)</f>
        <v/>
      </c>
      <c r="X36" s="12">
        <f>X27*Supuestos!$B$37*Supuestos!$B$38*(Supuestos!$B$39*Supuestos!$B$14+Supuestos!$B$40/60*Supuestos!$B$41)</f>
        <v/>
      </c>
      <c r="Y36" s="12">
        <f>Y27*Supuestos!$B$37*Supuestos!$B$38*(Supuestos!$B$39*Supuestos!$B$14+Supuestos!$B$40/60*Supuestos!$B$41)</f>
        <v/>
      </c>
      <c r="Z36" s="12">
        <f>Z27*Supuestos!$B$37*Supuestos!$B$38*(Supuestos!$B$39*Supuestos!$B$14+Supuestos!$B$40/60*Supuestos!$B$41)</f>
        <v/>
      </c>
    </row>
    <row r="37">
      <c r="A37" s="5" t="inlineStr">
        <is>
          <t>Total costos variables</t>
        </is>
      </c>
      <c r="B37" s="2" t="n"/>
      <c r="C37" s="12">
        <f>SUM(C32:C36)</f>
        <v/>
      </c>
      <c r="D37" s="12">
        <f>SUM(D32:D36)</f>
        <v/>
      </c>
      <c r="E37" s="12">
        <f>SUM(E32:E36)</f>
        <v/>
      </c>
      <c r="F37" s="12">
        <f>SUM(F32:F36)</f>
        <v/>
      </c>
      <c r="G37" s="12">
        <f>SUM(G32:G36)</f>
        <v/>
      </c>
      <c r="H37" s="12">
        <f>SUM(H32:H36)</f>
        <v/>
      </c>
      <c r="I37" s="12">
        <f>SUM(I32:I36)</f>
        <v/>
      </c>
      <c r="J37" s="12">
        <f>SUM(J32:J36)</f>
        <v/>
      </c>
      <c r="K37" s="12">
        <f>SUM(K32:K36)</f>
        <v/>
      </c>
      <c r="L37" s="12">
        <f>SUM(L32:L36)</f>
        <v/>
      </c>
      <c r="M37" s="12">
        <f>SUM(M32:M36)</f>
        <v/>
      </c>
      <c r="N37" s="12">
        <f>SUM(N32:N36)</f>
        <v/>
      </c>
      <c r="O37" s="12">
        <f>SUM(O32:O36)</f>
        <v/>
      </c>
      <c r="P37" s="12">
        <f>SUM(P32:P36)</f>
        <v/>
      </c>
      <c r="Q37" s="12">
        <f>SUM(Q32:Q36)</f>
        <v/>
      </c>
      <c r="R37" s="12">
        <f>SUM(R32:R36)</f>
        <v/>
      </c>
      <c r="S37" s="12">
        <f>SUM(S32:S36)</f>
        <v/>
      </c>
      <c r="T37" s="12">
        <f>SUM(T32:T36)</f>
        <v/>
      </c>
      <c r="U37" s="12">
        <f>SUM(U32:U36)</f>
        <v/>
      </c>
      <c r="V37" s="12">
        <f>SUM(V32:V36)</f>
        <v/>
      </c>
      <c r="W37" s="12">
        <f>SUM(W32:W36)</f>
        <v/>
      </c>
      <c r="X37" s="12">
        <f>SUM(X32:X36)</f>
        <v/>
      </c>
      <c r="Y37" s="12">
        <f>SUM(Y32:Y36)</f>
        <v/>
      </c>
      <c r="Z37" s="12">
        <f>SUM(Z32:Z36)</f>
        <v/>
      </c>
    </row>
    <row r="38">
      <c r="A38" s="39" t="inlineStr">
        <is>
          <t>MARGEN DE CONTRIBUCIÓN</t>
        </is>
      </c>
      <c r="B38" s="40" t="n"/>
      <c r="C38" s="41">
        <f>C29-C37</f>
        <v/>
      </c>
      <c r="D38" s="41">
        <f>D29-D37</f>
        <v/>
      </c>
      <c r="E38" s="41">
        <f>E29-E37</f>
        <v/>
      </c>
      <c r="F38" s="41">
        <f>F29-F37</f>
        <v/>
      </c>
      <c r="G38" s="41">
        <f>G29-G37</f>
        <v/>
      </c>
      <c r="H38" s="41">
        <f>H29-H37</f>
        <v/>
      </c>
      <c r="I38" s="41">
        <f>I29-I37</f>
        <v/>
      </c>
      <c r="J38" s="41">
        <f>J29-J37</f>
        <v/>
      </c>
      <c r="K38" s="41">
        <f>K29-K37</f>
        <v/>
      </c>
      <c r="L38" s="41">
        <f>L29-L37</f>
        <v/>
      </c>
      <c r="M38" s="41">
        <f>M29-M37</f>
        <v/>
      </c>
      <c r="N38" s="41">
        <f>N29-N37</f>
        <v/>
      </c>
      <c r="O38" s="41">
        <f>O29-O37</f>
        <v/>
      </c>
      <c r="P38" s="41">
        <f>P29-P37</f>
        <v/>
      </c>
      <c r="Q38" s="41">
        <f>Q29-Q37</f>
        <v/>
      </c>
      <c r="R38" s="41">
        <f>R29-R37</f>
        <v/>
      </c>
      <c r="S38" s="41">
        <f>S29-S37</f>
        <v/>
      </c>
      <c r="T38" s="41">
        <f>T29-T37</f>
        <v/>
      </c>
      <c r="U38" s="41">
        <f>U29-U37</f>
        <v/>
      </c>
      <c r="V38" s="41">
        <f>V29-V37</f>
        <v/>
      </c>
      <c r="W38" s="41">
        <f>W29-W37</f>
        <v/>
      </c>
      <c r="X38" s="41">
        <f>X29-X37</f>
        <v/>
      </c>
      <c r="Y38" s="41">
        <f>Y29-Y37</f>
        <v/>
      </c>
      <c r="Z38" s="41">
        <f>Z29-Z37</f>
        <v/>
      </c>
    </row>
    <row r="39">
      <c r="A39" s="5" t="inlineStr">
        <is>
          <t>Margen de contribución %</t>
        </is>
      </c>
      <c r="B39" s="2" t="n"/>
      <c r="C39" s="42">
        <f>IF(C29=0,0,C38/C29)</f>
        <v/>
      </c>
      <c r="D39" s="42">
        <f>IF(D29=0,0,D38/D29)</f>
        <v/>
      </c>
      <c r="E39" s="42">
        <f>IF(E29=0,0,E38/E29)</f>
        <v/>
      </c>
      <c r="F39" s="42">
        <f>IF(F29=0,0,F38/F29)</f>
        <v/>
      </c>
      <c r="G39" s="42">
        <f>IF(G29=0,0,G38/G29)</f>
        <v/>
      </c>
      <c r="H39" s="42">
        <f>IF(H29=0,0,H38/H29)</f>
        <v/>
      </c>
      <c r="I39" s="42">
        <f>IF(I29=0,0,I38/I29)</f>
        <v/>
      </c>
      <c r="J39" s="42">
        <f>IF(J29=0,0,J38/J29)</f>
        <v/>
      </c>
      <c r="K39" s="42">
        <f>IF(K29=0,0,K38/K29)</f>
        <v/>
      </c>
      <c r="L39" s="42">
        <f>IF(L29=0,0,L38/L29)</f>
        <v/>
      </c>
      <c r="M39" s="42">
        <f>IF(M29=0,0,M38/M29)</f>
        <v/>
      </c>
      <c r="N39" s="42">
        <f>IF(N29=0,0,N38/N29)</f>
        <v/>
      </c>
      <c r="O39" s="42">
        <f>IF(O29=0,0,O38/O29)</f>
        <v/>
      </c>
      <c r="P39" s="42">
        <f>IF(P29=0,0,P38/P29)</f>
        <v/>
      </c>
      <c r="Q39" s="42">
        <f>IF(Q29=0,0,Q38/Q29)</f>
        <v/>
      </c>
      <c r="R39" s="42">
        <f>IF(R29=0,0,R38/R29)</f>
        <v/>
      </c>
      <c r="S39" s="42">
        <f>IF(S29=0,0,S38/S29)</f>
        <v/>
      </c>
      <c r="T39" s="42">
        <f>IF(T29=0,0,T38/T29)</f>
        <v/>
      </c>
      <c r="U39" s="42">
        <f>IF(U29=0,0,U38/U29)</f>
        <v/>
      </c>
      <c r="V39" s="42">
        <f>IF(V29=0,0,V38/V29)</f>
        <v/>
      </c>
      <c r="W39" s="42">
        <f>IF(W29=0,0,W38/W29)</f>
        <v/>
      </c>
      <c r="X39" s="42">
        <f>IF(X29=0,0,X38/X29)</f>
        <v/>
      </c>
      <c r="Y39" s="42">
        <f>IF(Y29=0,0,Y38/Y29)</f>
        <v/>
      </c>
      <c r="Z39" s="42">
        <f>IF(Z29=0,0,Z38/Z29)</f>
        <v/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35" t="inlineStr">
        <is>
          <t>COSTOS FIJOS Y DE CRECIMIENTO</t>
        </is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>
      <c r="A42" s="5" t="inlineStr">
        <is>
          <t>Infraestructura</t>
        </is>
      </c>
      <c r="B42" s="2" t="n"/>
      <c r="C42" s="12">
        <f>(Supuestos!$B$15+Supuestos!$B$16*C5)*Supuestos!$B$14</f>
        <v/>
      </c>
      <c r="D42" s="12">
        <f>(Supuestos!$B$15+Supuestos!$B$16*D5)*Supuestos!$B$14</f>
        <v/>
      </c>
      <c r="E42" s="12">
        <f>(Supuestos!$B$15+Supuestos!$B$16*E5)*Supuestos!$B$14</f>
        <v/>
      </c>
      <c r="F42" s="12">
        <f>(Supuestos!$B$15+Supuestos!$B$16*F5)*Supuestos!$B$14</f>
        <v/>
      </c>
      <c r="G42" s="12">
        <f>(Supuestos!$B$15+Supuestos!$B$16*G5)*Supuestos!$B$14</f>
        <v/>
      </c>
      <c r="H42" s="12">
        <f>(Supuestos!$B$15+Supuestos!$B$16*H5)*Supuestos!$B$14</f>
        <v/>
      </c>
      <c r="I42" s="12">
        <f>(Supuestos!$B$15+Supuestos!$B$16*I5)*Supuestos!$B$14</f>
        <v/>
      </c>
      <c r="J42" s="12">
        <f>(Supuestos!$B$15+Supuestos!$B$16*J5)*Supuestos!$B$14</f>
        <v/>
      </c>
      <c r="K42" s="12">
        <f>(Supuestos!$B$15+Supuestos!$B$16*K5)*Supuestos!$B$14</f>
        <v/>
      </c>
      <c r="L42" s="12">
        <f>(Supuestos!$B$15+Supuestos!$B$16*L5)*Supuestos!$B$14</f>
        <v/>
      </c>
      <c r="M42" s="12">
        <f>(Supuestos!$B$15+Supuestos!$B$16*M5)*Supuestos!$B$14</f>
        <v/>
      </c>
      <c r="N42" s="12">
        <f>(Supuestos!$B$15+Supuestos!$B$16*N5)*Supuestos!$B$14</f>
        <v/>
      </c>
      <c r="O42" s="12">
        <f>(Supuestos!$B$15+Supuestos!$B$16*O5)*Supuestos!$B$14</f>
        <v/>
      </c>
      <c r="P42" s="12">
        <f>(Supuestos!$B$15+Supuestos!$B$16*P5)*Supuestos!$B$14</f>
        <v/>
      </c>
      <c r="Q42" s="12">
        <f>(Supuestos!$B$15+Supuestos!$B$16*Q5)*Supuestos!$B$14</f>
        <v/>
      </c>
      <c r="R42" s="12">
        <f>(Supuestos!$B$15+Supuestos!$B$16*R5)*Supuestos!$B$14</f>
        <v/>
      </c>
      <c r="S42" s="12">
        <f>(Supuestos!$B$15+Supuestos!$B$16*S5)*Supuestos!$B$14</f>
        <v/>
      </c>
      <c r="T42" s="12">
        <f>(Supuestos!$B$15+Supuestos!$B$16*T5)*Supuestos!$B$14</f>
        <v/>
      </c>
      <c r="U42" s="12">
        <f>(Supuestos!$B$15+Supuestos!$B$16*U5)*Supuestos!$B$14</f>
        <v/>
      </c>
      <c r="V42" s="12">
        <f>(Supuestos!$B$15+Supuestos!$B$16*V5)*Supuestos!$B$14</f>
        <v/>
      </c>
      <c r="W42" s="12">
        <f>(Supuestos!$B$15+Supuestos!$B$16*W5)*Supuestos!$B$14</f>
        <v/>
      </c>
      <c r="X42" s="12">
        <f>(Supuestos!$B$15+Supuestos!$B$16*X5)*Supuestos!$B$14</f>
        <v/>
      </c>
      <c r="Y42" s="12">
        <f>(Supuestos!$B$15+Supuestos!$B$16*Y5)*Supuestos!$B$14</f>
        <v/>
      </c>
      <c r="Z42" s="12">
        <f>(Supuestos!$B$15+Supuestos!$B$16*Z5)*Supuestos!$B$14</f>
        <v/>
      </c>
    </row>
    <row r="43">
      <c r="A43" s="5" t="inlineStr">
        <is>
          <t>Contador</t>
        </is>
      </c>
      <c r="B43" s="2" t="n"/>
      <c r="C43" s="8">
        <f>Supuestos!$B$27</f>
        <v/>
      </c>
      <c r="D43" s="8">
        <f>Supuestos!$B$27</f>
        <v/>
      </c>
      <c r="E43" s="8">
        <f>Supuestos!$B$27</f>
        <v/>
      </c>
      <c r="F43" s="8">
        <f>Supuestos!$B$27</f>
        <v/>
      </c>
      <c r="G43" s="8">
        <f>Supuestos!$B$27</f>
        <v/>
      </c>
      <c r="H43" s="8">
        <f>Supuestos!$B$27</f>
        <v/>
      </c>
      <c r="I43" s="8">
        <f>Supuestos!$B$27</f>
        <v/>
      </c>
      <c r="J43" s="8">
        <f>Supuestos!$B$27</f>
        <v/>
      </c>
      <c r="K43" s="8">
        <f>Supuestos!$B$27</f>
        <v/>
      </c>
      <c r="L43" s="8">
        <f>Supuestos!$B$27</f>
        <v/>
      </c>
      <c r="M43" s="8">
        <f>Supuestos!$B$27</f>
        <v/>
      </c>
      <c r="N43" s="8">
        <f>Supuestos!$B$27</f>
        <v/>
      </c>
      <c r="O43" s="8">
        <f>Supuestos!$B$27</f>
        <v/>
      </c>
      <c r="P43" s="8">
        <f>Supuestos!$B$27</f>
        <v/>
      </c>
      <c r="Q43" s="8">
        <f>Supuestos!$B$27</f>
        <v/>
      </c>
      <c r="R43" s="8">
        <f>Supuestos!$B$27</f>
        <v/>
      </c>
      <c r="S43" s="8">
        <f>Supuestos!$B$27</f>
        <v/>
      </c>
      <c r="T43" s="8">
        <f>Supuestos!$B$27</f>
        <v/>
      </c>
      <c r="U43" s="8">
        <f>Supuestos!$B$27</f>
        <v/>
      </c>
      <c r="V43" s="8">
        <f>Supuestos!$B$27</f>
        <v/>
      </c>
      <c r="W43" s="8">
        <f>Supuestos!$B$27</f>
        <v/>
      </c>
      <c r="X43" s="8">
        <f>Supuestos!$B$27</f>
        <v/>
      </c>
      <c r="Y43" s="8">
        <f>Supuestos!$B$27</f>
        <v/>
      </c>
      <c r="Z43" s="8">
        <f>Supuestos!$B$27</f>
        <v/>
      </c>
    </row>
    <row r="44">
      <c r="A44" s="5" t="inlineStr">
        <is>
          <t>Adquisición de médicos</t>
        </is>
      </c>
      <c r="B44" s="2" t="n"/>
      <c r="C44" s="12">
        <f>C8*Supuestos!$B$30</f>
        <v/>
      </c>
      <c r="D44" s="12">
        <f>D8*Supuestos!$B$30</f>
        <v/>
      </c>
      <c r="E44" s="12">
        <f>E8*Supuestos!$B$30</f>
        <v/>
      </c>
      <c r="F44" s="12">
        <f>F8*Supuestos!$B$30</f>
        <v/>
      </c>
      <c r="G44" s="12">
        <f>G8*Supuestos!$B$30</f>
        <v/>
      </c>
      <c r="H44" s="12">
        <f>H8*Supuestos!$B$30</f>
        <v/>
      </c>
      <c r="I44" s="12">
        <f>I8*Supuestos!$B$30</f>
        <v/>
      </c>
      <c r="J44" s="12">
        <f>J8*Supuestos!$B$30</f>
        <v/>
      </c>
      <c r="K44" s="12">
        <f>K8*Supuestos!$B$30</f>
        <v/>
      </c>
      <c r="L44" s="12">
        <f>L8*Supuestos!$B$30</f>
        <v/>
      </c>
      <c r="M44" s="12">
        <f>M8*Supuestos!$B$30</f>
        <v/>
      </c>
      <c r="N44" s="12">
        <f>N8*Supuestos!$B$30</f>
        <v/>
      </c>
      <c r="O44" s="12">
        <f>O8*Supuestos!$B$30</f>
        <v/>
      </c>
      <c r="P44" s="12">
        <f>P8*Supuestos!$B$30</f>
        <v/>
      </c>
      <c r="Q44" s="12">
        <f>Q8*Supuestos!$B$30</f>
        <v/>
      </c>
      <c r="R44" s="12">
        <f>R8*Supuestos!$B$30</f>
        <v/>
      </c>
      <c r="S44" s="12">
        <f>S8*Supuestos!$B$30</f>
        <v/>
      </c>
      <c r="T44" s="12">
        <f>T8*Supuestos!$B$30</f>
        <v/>
      </c>
      <c r="U44" s="12">
        <f>U8*Supuestos!$B$30</f>
        <v/>
      </c>
      <c r="V44" s="12">
        <f>V8*Supuestos!$B$30</f>
        <v/>
      </c>
      <c r="W44" s="12">
        <f>W8*Supuestos!$B$30</f>
        <v/>
      </c>
      <c r="X44" s="12">
        <f>X8*Supuestos!$B$30</f>
        <v/>
      </c>
      <c r="Y44" s="12">
        <f>Y8*Supuestos!$B$30</f>
        <v/>
      </c>
      <c r="Z44" s="12">
        <f>Z8*Supuestos!$B$30</f>
        <v/>
      </c>
    </row>
    <row r="45">
      <c r="A45" s="5" t="inlineStr">
        <is>
          <t>Sueldo de Víctor</t>
        </is>
      </c>
      <c r="B45" s="2" t="n"/>
      <c r="C45" s="8">
        <f>Supuestos!$B$31</f>
        <v/>
      </c>
      <c r="D45" s="8">
        <f>Supuestos!$B$31</f>
        <v/>
      </c>
      <c r="E45" s="8">
        <f>Supuestos!$B$31</f>
        <v/>
      </c>
      <c r="F45" s="8">
        <f>Supuestos!$B$31</f>
        <v/>
      </c>
      <c r="G45" s="8">
        <f>Supuestos!$B$31</f>
        <v/>
      </c>
      <c r="H45" s="8">
        <f>Supuestos!$B$31</f>
        <v/>
      </c>
      <c r="I45" s="8">
        <f>Supuestos!$B$31</f>
        <v/>
      </c>
      <c r="J45" s="8">
        <f>Supuestos!$B$31</f>
        <v/>
      </c>
      <c r="K45" s="8">
        <f>Supuestos!$B$31</f>
        <v/>
      </c>
      <c r="L45" s="8">
        <f>Supuestos!$B$31</f>
        <v/>
      </c>
      <c r="M45" s="8">
        <f>Supuestos!$B$31</f>
        <v/>
      </c>
      <c r="N45" s="8">
        <f>Supuestos!$B$31</f>
        <v/>
      </c>
      <c r="O45" s="8">
        <f>Supuestos!$B$31</f>
        <v/>
      </c>
      <c r="P45" s="8">
        <f>Supuestos!$B$31</f>
        <v/>
      </c>
      <c r="Q45" s="8">
        <f>Supuestos!$B$31</f>
        <v/>
      </c>
      <c r="R45" s="8">
        <f>Supuestos!$B$31</f>
        <v/>
      </c>
      <c r="S45" s="8">
        <f>Supuestos!$B$31</f>
        <v/>
      </c>
      <c r="T45" s="8">
        <f>Supuestos!$B$31</f>
        <v/>
      </c>
      <c r="U45" s="8">
        <f>Supuestos!$B$31</f>
        <v/>
      </c>
      <c r="V45" s="8">
        <f>Supuestos!$B$31</f>
        <v/>
      </c>
      <c r="W45" s="8">
        <f>Supuestos!$B$31</f>
        <v/>
      </c>
      <c r="X45" s="8">
        <f>Supuestos!$B$31</f>
        <v/>
      </c>
      <c r="Y45" s="8">
        <f>Supuestos!$B$31</f>
        <v/>
      </c>
      <c r="Z45" s="8">
        <f>Supuestos!$B$31</f>
        <v/>
      </c>
    </row>
    <row r="46">
      <c r="A46" s="5" t="inlineStr">
        <is>
          <t>Pagos únicos (abogado, prueba de penetración)</t>
        </is>
      </c>
      <c r="B46" s="2" t="n"/>
      <c r="C46" s="12">
        <f>IF(C3=1,Supuestos!$B$32,0)+IF(C3=Supuestos!$B$34,Supuestos!$B$33,0)</f>
        <v/>
      </c>
      <c r="D46" s="12">
        <f>IF(D3=1,Supuestos!$B$32,0)+IF(D3=Supuestos!$B$34,Supuestos!$B$33,0)</f>
        <v/>
      </c>
      <c r="E46" s="12">
        <f>IF(E3=1,Supuestos!$B$32,0)+IF(E3=Supuestos!$B$34,Supuestos!$B$33,0)</f>
        <v/>
      </c>
      <c r="F46" s="12">
        <f>IF(F3=1,Supuestos!$B$32,0)+IF(F3=Supuestos!$B$34,Supuestos!$B$33,0)</f>
        <v/>
      </c>
      <c r="G46" s="12">
        <f>IF(G3=1,Supuestos!$B$32,0)+IF(G3=Supuestos!$B$34,Supuestos!$B$33,0)</f>
        <v/>
      </c>
      <c r="H46" s="12">
        <f>IF(H3=1,Supuestos!$B$32,0)+IF(H3=Supuestos!$B$34,Supuestos!$B$33,0)</f>
        <v/>
      </c>
      <c r="I46" s="12">
        <f>IF(I3=1,Supuestos!$B$32,0)+IF(I3=Supuestos!$B$34,Supuestos!$B$33,0)</f>
        <v/>
      </c>
      <c r="J46" s="12">
        <f>IF(J3=1,Supuestos!$B$32,0)+IF(J3=Supuestos!$B$34,Supuestos!$B$33,0)</f>
        <v/>
      </c>
      <c r="K46" s="12">
        <f>IF(K3=1,Supuestos!$B$32,0)+IF(K3=Supuestos!$B$34,Supuestos!$B$33,0)</f>
        <v/>
      </c>
      <c r="L46" s="12">
        <f>IF(L3=1,Supuestos!$B$32,0)+IF(L3=Supuestos!$B$34,Supuestos!$B$33,0)</f>
        <v/>
      </c>
      <c r="M46" s="12">
        <f>IF(M3=1,Supuestos!$B$32,0)+IF(M3=Supuestos!$B$34,Supuestos!$B$33,0)</f>
        <v/>
      </c>
      <c r="N46" s="12">
        <f>IF(N3=1,Supuestos!$B$32,0)+IF(N3=Supuestos!$B$34,Supuestos!$B$33,0)</f>
        <v/>
      </c>
      <c r="O46" s="12">
        <f>IF(O3=1,Supuestos!$B$32,0)+IF(O3=Supuestos!$B$34,Supuestos!$B$33,0)</f>
        <v/>
      </c>
      <c r="P46" s="12">
        <f>IF(P3=1,Supuestos!$B$32,0)+IF(P3=Supuestos!$B$34,Supuestos!$B$33,0)</f>
        <v/>
      </c>
      <c r="Q46" s="12">
        <f>IF(Q3=1,Supuestos!$B$32,0)+IF(Q3=Supuestos!$B$34,Supuestos!$B$33,0)</f>
        <v/>
      </c>
      <c r="R46" s="12">
        <f>IF(R3=1,Supuestos!$B$32,0)+IF(R3=Supuestos!$B$34,Supuestos!$B$33,0)</f>
        <v/>
      </c>
      <c r="S46" s="12">
        <f>IF(S3=1,Supuestos!$B$32,0)+IF(S3=Supuestos!$B$34,Supuestos!$B$33,0)</f>
        <v/>
      </c>
      <c r="T46" s="12">
        <f>IF(T3=1,Supuestos!$B$32,0)+IF(T3=Supuestos!$B$34,Supuestos!$B$33,0)</f>
        <v/>
      </c>
      <c r="U46" s="12">
        <f>IF(U3=1,Supuestos!$B$32,0)+IF(U3=Supuestos!$B$34,Supuestos!$B$33,0)</f>
        <v/>
      </c>
      <c r="V46" s="12">
        <f>IF(V3=1,Supuestos!$B$32,0)+IF(V3=Supuestos!$B$34,Supuestos!$B$33,0)</f>
        <v/>
      </c>
      <c r="W46" s="12">
        <f>IF(W3=1,Supuestos!$B$32,0)+IF(W3=Supuestos!$B$34,Supuestos!$B$33,0)</f>
        <v/>
      </c>
      <c r="X46" s="12">
        <f>IF(X3=1,Supuestos!$B$32,0)+IF(X3=Supuestos!$B$34,Supuestos!$B$33,0)</f>
        <v/>
      </c>
      <c r="Y46" s="12">
        <f>IF(Y3=1,Supuestos!$B$32,0)+IF(Y3=Supuestos!$B$34,Supuestos!$B$33,0)</f>
        <v/>
      </c>
      <c r="Z46" s="12">
        <f>IF(Z3=1,Supuestos!$B$32,0)+IF(Z3=Supuestos!$B$34,Supuestos!$B$33,0)</f>
        <v/>
      </c>
    </row>
    <row r="47">
      <c r="A47" s="5" t="inlineStr">
        <is>
          <t>Total fijos y crecimiento</t>
        </is>
      </c>
      <c r="B47" s="2" t="n"/>
      <c r="C47" s="12">
        <f>SUM(C42:C46)</f>
        <v/>
      </c>
      <c r="D47" s="12">
        <f>SUM(D42:D46)</f>
        <v/>
      </c>
      <c r="E47" s="12">
        <f>SUM(E42:E46)</f>
        <v/>
      </c>
      <c r="F47" s="12">
        <f>SUM(F42:F46)</f>
        <v/>
      </c>
      <c r="G47" s="12">
        <f>SUM(G42:G46)</f>
        <v/>
      </c>
      <c r="H47" s="12">
        <f>SUM(H42:H46)</f>
        <v/>
      </c>
      <c r="I47" s="12">
        <f>SUM(I42:I46)</f>
        <v/>
      </c>
      <c r="J47" s="12">
        <f>SUM(J42:J46)</f>
        <v/>
      </c>
      <c r="K47" s="12">
        <f>SUM(K42:K46)</f>
        <v/>
      </c>
      <c r="L47" s="12">
        <f>SUM(L42:L46)</f>
        <v/>
      </c>
      <c r="M47" s="12">
        <f>SUM(M42:M46)</f>
        <v/>
      </c>
      <c r="N47" s="12">
        <f>SUM(N42:N46)</f>
        <v/>
      </c>
      <c r="O47" s="12">
        <f>SUM(O42:O46)</f>
        <v/>
      </c>
      <c r="P47" s="12">
        <f>SUM(P42:P46)</f>
        <v/>
      </c>
      <c r="Q47" s="12">
        <f>SUM(Q42:Q46)</f>
        <v/>
      </c>
      <c r="R47" s="12">
        <f>SUM(R42:R46)</f>
        <v/>
      </c>
      <c r="S47" s="12">
        <f>SUM(S42:S46)</f>
        <v/>
      </c>
      <c r="T47" s="12">
        <f>SUM(T42:T46)</f>
        <v/>
      </c>
      <c r="U47" s="12">
        <f>SUM(U42:U46)</f>
        <v/>
      </c>
      <c r="V47" s="12">
        <f>SUM(V42:V46)</f>
        <v/>
      </c>
      <c r="W47" s="12">
        <f>SUM(W42:W46)</f>
        <v/>
      </c>
      <c r="X47" s="12">
        <f>SUM(X42:X46)</f>
        <v/>
      </c>
      <c r="Y47" s="12">
        <f>SUM(Y42:Y46)</f>
        <v/>
      </c>
      <c r="Z47" s="12">
        <f>SUM(Z42:Z46)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39" t="inlineStr">
        <is>
          <t>FLUJO NETO DEL MES</t>
        </is>
      </c>
      <c r="B49" s="40" t="n"/>
      <c r="C49" s="41">
        <f>C38-C47</f>
        <v/>
      </c>
      <c r="D49" s="41">
        <f>D38-D47</f>
        <v/>
      </c>
      <c r="E49" s="41">
        <f>E38-E47</f>
        <v/>
      </c>
      <c r="F49" s="41">
        <f>F38-F47</f>
        <v/>
      </c>
      <c r="G49" s="41">
        <f>G38-G47</f>
        <v/>
      </c>
      <c r="H49" s="41">
        <f>H38-H47</f>
        <v/>
      </c>
      <c r="I49" s="41">
        <f>I38-I47</f>
        <v/>
      </c>
      <c r="J49" s="41">
        <f>J38-J47</f>
        <v/>
      </c>
      <c r="K49" s="41">
        <f>K38-K47</f>
        <v/>
      </c>
      <c r="L49" s="41">
        <f>L38-L47</f>
        <v/>
      </c>
      <c r="M49" s="41">
        <f>M38-M47</f>
        <v/>
      </c>
      <c r="N49" s="41">
        <f>N38-N47</f>
        <v/>
      </c>
      <c r="O49" s="41">
        <f>O38-O47</f>
        <v/>
      </c>
      <c r="P49" s="41">
        <f>P38-P47</f>
        <v/>
      </c>
      <c r="Q49" s="41">
        <f>Q38-Q47</f>
        <v/>
      </c>
      <c r="R49" s="41">
        <f>R38-R47</f>
        <v/>
      </c>
      <c r="S49" s="41">
        <f>S38-S47</f>
        <v/>
      </c>
      <c r="T49" s="41">
        <f>T38-T47</f>
        <v/>
      </c>
      <c r="U49" s="41">
        <f>U38-U47</f>
        <v/>
      </c>
      <c r="V49" s="41">
        <f>V38-V47</f>
        <v/>
      </c>
      <c r="W49" s="41">
        <f>W38-W47</f>
        <v/>
      </c>
      <c r="X49" s="41">
        <f>X38-X47</f>
        <v/>
      </c>
      <c r="Y49" s="41">
        <f>Y38-Y47</f>
        <v/>
      </c>
      <c r="Z49" s="41">
        <f>Z38-Z47</f>
        <v/>
      </c>
    </row>
    <row r="50">
      <c r="A50" s="39" t="inlineStr">
        <is>
          <t>FLUJO ACUMULADO</t>
        </is>
      </c>
      <c r="B50" s="40" t="n"/>
      <c r="C50" s="41">
        <f>C49</f>
        <v/>
      </c>
      <c r="D50" s="41">
        <f>C50+D49</f>
        <v/>
      </c>
      <c r="E50" s="41">
        <f>D50+E49</f>
        <v/>
      </c>
      <c r="F50" s="41">
        <f>E50+F49</f>
        <v/>
      </c>
      <c r="G50" s="41">
        <f>F50+G49</f>
        <v/>
      </c>
      <c r="H50" s="41">
        <f>G50+H49</f>
        <v/>
      </c>
      <c r="I50" s="41">
        <f>H50+I49</f>
        <v/>
      </c>
      <c r="J50" s="41">
        <f>I50+J49</f>
        <v/>
      </c>
      <c r="K50" s="41">
        <f>J50+K49</f>
        <v/>
      </c>
      <c r="L50" s="41">
        <f>K50+L49</f>
        <v/>
      </c>
      <c r="M50" s="41">
        <f>L50+M49</f>
        <v/>
      </c>
      <c r="N50" s="41">
        <f>M50+N49</f>
        <v/>
      </c>
      <c r="O50" s="41">
        <f>N50+O49</f>
        <v/>
      </c>
      <c r="P50" s="41">
        <f>O50+P49</f>
        <v/>
      </c>
      <c r="Q50" s="41">
        <f>P50+Q49</f>
        <v/>
      </c>
      <c r="R50" s="41">
        <f>Q50+R49</f>
        <v/>
      </c>
      <c r="S50" s="41">
        <f>R50+S49</f>
        <v/>
      </c>
      <c r="T50" s="41">
        <f>S50+T49</f>
        <v/>
      </c>
      <c r="U50" s="41">
        <f>T50+U49</f>
        <v/>
      </c>
      <c r="V50" s="41">
        <f>U50+V49</f>
        <v/>
      </c>
      <c r="W50" s="41">
        <f>V50+W49</f>
        <v/>
      </c>
      <c r="X50" s="41">
        <f>W50+X49</f>
        <v/>
      </c>
      <c r="Y50" s="41">
        <f>X50+Y49</f>
        <v/>
      </c>
      <c r="Z50" s="41">
        <f>Y50+Z49</f>
        <v/>
      </c>
    </row>
    <row r="51">
      <c r="A51" s="5" t="inlineStr">
        <is>
          <t>Ingreso recurrente anualizado (ARR)</t>
        </is>
      </c>
      <c r="B51" s="2" t="n"/>
      <c r="C51" s="12">
        <f>C26*12</f>
        <v/>
      </c>
      <c r="D51" s="12">
        <f>D26*12</f>
        <v/>
      </c>
      <c r="E51" s="12">
        <f>E26*12</f>
        <v/>
      </c>
      <c r="F51" s="12">
        <f>F26*12</f>
        <v/>
      </c>
      <c r="G51" s="12">
        <f>G26*12</f>
        <v/>
      </c>
      <c r="H51" s="12">
        <f>H26*12</f>
        <v/>
      </c>
      <c r="I51" s="12">
        <f>I26*12</f>
        <v/>
      </c>
      <c r="J51" s="12">
        <f>J26*12</f>
        <v/>
      </c>
      <c r="K51" s="12">
        <f>K26*12</f>
        <v/>
      </c>
      <c r="L51" s="12">
        <f>L26*12</f>
        <v/>
      </c>
      <c r="M51" s="12">
        <f>M26*12</f>
        <v/>
      </c>
      <c r="N51" s="12">
        <f>N26*12</f>
        <v/>
      </c>
      <c r="O51" s="12">
        <f>O26*12</f>
        <v/>
      </c>
      <c r="P51" s="12">
        <f>P26*12</f>
        <v/>
      </c>
      <c r="Q51" s="12">
        <f>Q26*12</f>
        <v/>
      </c>
      <c r="R51" s="12">
        <f>R26*12</f>
        <v/>
      </c>
      <c r="S51" s="12">
        <f>S26*12</f>
        <v/>
      </c>
      <c r="T51" s="12">
        <f>T26*12</f>
        <v/>
      </c>
      <c r="U51" s="12">
        <f>U26*12</f>
        <v/>
      </c>
      <c r="V51" s="12">
        <f>V26*12</f>
        <v/>
      </c>
      <c r="W51" s="12">
        <f>W26*12</f>
        <v/>
      </c>
      <c r="X51" s="12">
        <f>X26*12</f>
        <v/>
      </c>
      <c r="Y51" s="12">
        <f>Y26*12</f>
        <v/>
      </c>
      <c r="Z51" s="12">
        <f>Z26*12</f>
        <v/>
      </c>
    </row>
    <row r="52">
      <c r="A52" s="5" t="inlineStr">
        <is>
          <t>Ayuda: mes con flujo positivo (99 = no)</t>
        </is>
      </c>
      <c r="B52" s="2" t="n"/>
      <c r="C52" s="34">
        <f>IF(C49&gt;0,C3,99)</f>
        <v/>
      </c>
      <c r="D52" s="34">
        <f>IF(D49&gt;0,D3,99)</f>
        <v/>
      </c>
      <c r="E52" s="34">
        <f>IF(E49&gt;0,E3,99)</f>
        <v/>
      </c>
      <c r="F52" s="34">
        <f>IF(F49&gt;0,F3,99)</f>
        <v/>
      </c>
      <c r="G52" s="34">
        <f>IF(G49&gt;0,G3,99)</f>
        <v/>
      </c>
      <c r="H52" s="34">
        <f>IF(H49&gt;0,H3,99)</f>
        <v/>
      </c>
      <c r="I52" s="34">
        <f>IF(I49&gt;0,I3,99)</f>
        <v/>
      </c>
      <c r="J52" s="34">
        <f>IF(J49&gt;0,J3,99)</f>
        <v/>
      </c>
      <c r="K52" s="34">
        <f>IF(K49&gt;0,K3,99)</f>
        <v/>
      </c>
      <c r="L52" s="34">
        <f>IF(L49&gt;0,L3,99)</f>
        <v/>
      </c>
      <c r="M52" s="34">
        <f>IF(M49&gt;0,M3,99)</f>
        <v/>
      </c>
      <c r="N52" s="34">
        <f>IF(N49&gt;0,N3,99)</f>
        <v/>
      </c>
      <c r="O52" s="34">
        <f>IF(O49&gt;0,O3,99)</f>
        <v/>
      </c>
      <c r="P52" s="34">
        <f>IF(P49&gt;0,P3,99)</f>
        <v/>
      </c>
      <c r="Q52" s="34">
        <f>IF(Q49&gt;0,Q3,99)</f>
        <v/>
      </c>
      <c r="R52" s="34">
        <f>IF(R49&gt;0,R3,99)</f>
        <v/>
      </c>
      <c r="S52" s="34">
        <f>IF(S49&gt;0,S3,99)</f>
        <v/>
      </c>
      <c r="T52" s="34">
        <f>IF(T49&gt;0,T3,99)</f>
        <v/>
      </c>
      <c r="U52" s="34">
        <f>IF(U49&gt;0,U3,99)</f>
        <v/>
      </c>
      <c r="V52" s="34">
        <f>IF(V49&gt;0,V3,99)</f>
        <v/>
      </c>
      <c r="W52" s="34">
        <f>IF(W49&gt;0,W3,99)</f>
        <v/>
      </c>
      <c r="X52" s="34">
        <f>IF(X49&gt;0,X3,99)</f>
        <v/>
      </c>
      <c r="Y52" s="34">
        <f>IF(Y49&gt;0,Y3,99)</f>
        <v/>
      </c>
      <c r="Z52" s="34">
        <f>IF(Z49&gt;0,Z3,99)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2026-10-20T01:06:59Z</dcterms:created>
  <dcterms:modified xsi:type="dcterms:W3CDTF">2026-10-20T01:06:59Z</dcterms:modified>
</cp:coreProperties>
</file>