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Conservador" sheetId="3" state="visible" r:id="rId3"/>
    <sheet name="Base" sheetId="4" state="visible" r:id="rId4"/>
    <sheet name="Optimis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-"/>
    <numFmt numFmtId="165" formatCode="#,##0;(#,##0);-"/>
    <numFmt numFmtId="166" formatCode="0.0%;(0.0%);-"/>
    <numFmt numFmtId="167" formatCode="&quot;US$&quot;#,##0.00;(&quot;US$&quot;#,##0.00);-"/>
    <numFmt numFmtId="168" formatCode="&quot;US$&quot;0.000"/>
    <numFmt numFmtId="169" formatCode="&quot;US$&quot;0.00000"/>
    <numFmt numFmtId="170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sz val="9"/>
    </font>
    <font>
      <name val="Arial"/>
      <b val="1"/>
    </font>
    <font>
      <name val="Arial"/>
      <color rgb="00008000"/>
    </font>
    <font>
      <name val="Arial"/>
      <i val="1"/>
      <sz val="9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8" fillId="0" borderId="0" pivotButton="0" quotePrefix="0" xfId="0"/>
    <xf numFmtId="0" fontId="6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1" fontId="8" fillId="0" borderId="0" pivotButton="0" quotePrefix="0" xfId="0"/>
    <xf numFmtId="0" fontId="10" fillId="2" borderId="0" pivotButton="0" quotePrefix="0" xfId="0"/>
    <xf numFmtId="164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6" fontId="10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1" fontId="10" fillId="0" borderId="0" pivotButton="0" quotePrefix="0" xfId="0"/>
    <xf numFmtId="164" fontId="5" fillId="3" borderId="0" pivotButton="0" quotePrefix="0" xfId="0"/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167" fontId="5" fillId="0" borderId="0" pivotButton="0" quotePrefix="0" xfId="0"/>
    <xf numFmtId="167" fontId="5" fillId="3" borderId="0" pivotButton="0" quotePrefix="0" xfId="0"/>
    <xf numFmtId="165" fontId="5" fillId="3" borderId="0" pivotButton="0" quotePrefix="0" xfId="0"/>
    <xf numFmtId="2" fontId="5" fillId="3" borderId="0" pivotButton="0" quotePrefix="0" xfId="0"/>
    <xf numFmtId="166" fontId="5" fillId="3" borderId="0" pivotButton="0" quotePrefix="0" xfId="0"/>
    <xf numFmtId="168" fontId="5" fillId="0" borderId="0" pivotButton="0" quotePrefix="0" xfId="0"/>
    <xf numFmtId="169" fontId="5" fillId="0" borderId="0" pivotButton="0" quotePrefix="0" xfId="0"/>
    <xf numFmtId="164" fontId="5" fillId="0" borderId="0" pivotButton="0" quotePrefix="0" xfId="0"/>
    <xf numFmtId="170" fontId="5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" fontId="4" fillId="0" borderId="0" pivotButton="0" quotePrefix="0" xfId="0"/>
    <xf numFmtId="0" fontId="7" fillId="4" borderId="0" pivotButton="0" quotePrefix="0" xfId="0"/>
    <xf numFmtId="0" fontId="10" fillId="4" borderId="0" pivotButton="0" quotePrefix="0" xfId="0"/>
    <xf numFmtId="170" fontId="8" fillId="0" borderId="0" pivotButton="0" quotePrefix="0" xfId="0"/>
    <xf numFmtId="170" fontId="4" fillId="0" borderId="0" pivotButton="0" quotePrefix="0" xfId="0"/>
    <xf numFmtId="0" fontId="7" fillId="0" borderId="1" pivotButton="0" quotePrefix="0" xfId="0"/>
    <xf numFmtId="0" fontId="10" fillId="0" borderId="1" pivotButton="0" quotePrefix="0" xfId="0"/>
    <xf numFmtId="164" fontId="7" fillId="0" borderId="1" pivotButton="0" quotePrefix="0" xfId="0"/>
    <xf numFmtId="166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A3" authorId="0" shapeId="0">
      <text>
        <t>Los médicos se muestran con decimales porque la cancelación es un promedio; léelos como "aprox."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3" authorId="0" shapeId="0">
      <text>
        <t>Los médicos se muestran con decimales porque la cancelación es un promedio; léelos como "aprox."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3" authorId="0" shapeId="0">
      <text>
        <t>Los médicos se muestran con decimales porque la cancelación es un promedio; léelos como "aprox."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CODE CELLS™ — Resumen del modelo a 12 y 24 meses</t>
        </is>
      </c>
      <c r="B1" s="2" t="n"/>
      <c r="C1" s="2" t="n"/>
      <c r="D1" s="2" t="n"/>
      <c r="E1" s="2" t="n"/>
    </row>
    <row r="2">
      <c r="A2" s="3" t="inlineStr">
        <is>
          <t>MXN sin IVA. Todo se calcula desde la hoja Supuestos. Estimaciones: medir y corregir con el piloto.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Resultado</t>
        </is>
      </c>
      <c r="B4" s="4" t="inlineStr">
        <is>
          <t>Conservador</t>
        </is>
      </c>
      <c r="C4" s="4" t="inlineStr">
        <is>
          <t>Base</t>
        </is>
      </c>
      <c r="D4" s="4" t="inlineStr">
        <is>
          <t>Optimista</t>
        </is>
      </c>
      <c r="E4" s="4" t="inlineStr">
        <is>
          <t>Cómo leerlo</t>
        </is>
      </c>
    </row>
    <row r="5">
      <c r="A5" s="5" t="inlineStr">
        <is>
          <t>Médicos activos al mes 12 (nov-2027)</t>
        </is>
      </c>
      <c r="B5" s="6">
        <f>'Conservador'!N20</f>
        <v/>
      </c>
      <c r="C5" s="6">
        <f>'Base'!N20</f>
        <v/>
      </c>
      <c r="D5" s="6">
        <f>'Optimista'!N20</f>
        <v/>
      </c>
      <c r="E5" s="7" t="inlineStr"/>
    </row>
    <row r="6">
      <c r="A6" s="5" t="inlineStr">
        <is>
          <t>Médicos activos al mes 24 (nov-2028)</t>
        </is>
      </c>
      <c r="B6" s="6">
        <f>'Conservador'!Z20</f>
        <v/>
      </c>
      <c r="C6" s="6">
        <f>'Base'!Z20</f>
        <v/>
      </c>
      <c r="D6" s="6">
        <f>'Optimista'!Z20</f>
        <v/>
      </c>
      <c r="E6" s="7" t="inlineStr"/>
    </row>
    <row r="7">
      <c r="A7" s="5" t="inlineStr">
        <is>
          <t xml:space="preserve">   de ellos fundadores</t>
        </is>
      </c>
      <c r="B7" s="6">
        <f>'Conservador'!Z14</f>
        <v/>
      </c>
      <c r="C7" s="6">
        <f>'Base'!Z14</f>
        <v/>
      </c>
      <c r="D7" s="6">
        <f>'Optimista'!Z14</f>
        <v/>
      </c>
      <c r="E7" s="7" t="inlineStr">
        <is>
          <t>Los fundadores pagan el precio congelado.</t>
        </is>
      </c>
    </row>
    <row r="8">
      <c r="A8" s="5" t="inlineStr">
        <is>
          <t xml:space="preserve">   de ellos por el canal Regene</t>
        </is>
      </c>
      <c r="B8" s="6">
        <f>'Conservador'!Z19</f>
        <v/>
      </c>
      <c r="C8" s="6">
        <f>'Base'!Z19</f>
        <v/>
      </c>
      <c r="D8" s="6">
        <f>'Optimista'!Z19</f>
        <v/>
      </c>
      <c r="E8" s="7" t="inlineStr">
        <is>
          <t>Clínico con descuento/comisión del canal.</t>
        </is>
      </c>
    </row>
    <row r="9">
      <c r="A9" s="5" t="inlineStr">
        <is>
          <t>GB guardados al mes 24</t>
        </is>
      </c>
      <c r="B9" s="6">
        <f>'Conservador'!Z30</f>
        <v/>
      </c>
      <c r="C9" s="6">
        <f>'Base'!Z30</f>
        <v/>
      </c>
      <c r="D9" s="6">
        <f>'Optimista'!Z30</f>
        <v/>
      </c>
      <c r="E9" s="7" t="inlineStr">
        <is>
          <t>Se acumulan: la NOM-004 obliga a conservar 5 años aunque el médico se vaya.</t>
        </is>
      </c>
    </row>
    <row r="10">
      <c r="A10" s="5" t="inlineStr">
        <is>
          <t>Ingreso por almacenamiento adicional, mes 24</t>
        </is>
      </c>
      <c r="B10" s="8">
        <f>'Conservador'!Z31</f>
        <v/>
      </c>
      <c r="C10" s="8">
        <f>'Base'!Z31</f>
        <v/>
      </c>
      <c r="D10" s="8">
        <f>'Optimista'!Z31</f>
        <v/>
      </c>
      <c r="E10" s="7" t="inlineStr"/>
    </row>
    <row r="11">
      <c r="A11" s="5" t="inlineStr">
        <is>
          <t>Costo de almacenamiento (2 copias), mes 24</t>
        </is>
      </c>
      <c r="B11" s="8">
        <f>'Conservador'!Z39</f>
        <v/>
      </c>
      <c r="C11" s="8">
        <f>'Base'!Z39</f>
        <v/>
      </c>
      <c r="D11" s="8">
        <f>'Optimista'!Z39</f>
        <v/>
      </c>
      <c r="E11" s="7" t="inlineStr"/>
    </row>
    <row r="12">
      <c r="A12" s="5" t="inlineStr">
        <is>
          <t>Ingreso recurrente mensual (MRR) mes 12</t>
        </is>
      </c>
      <c r="B12" s="8">
        <f>'Conservador'!N32</f>
        <v/>
      </c>
      <c r="C12" s="8">
        <f>'Base'!N32</f>
        <v/>
      </c>
      <c r="D12" s="8">
        <f>'Optimista'!N32</f>
        <v/>
      </c>
      <c r="E12" s="7" t="inlineStr"/>
    </row>
    <row r="13">
      <c r="A13" s="5" t="inlineStr">
        <is>
          <t>Ingreso recurrente mensual (MRR) mes 24</t>
        </is>
      </c>
      <c r="B13" s="8">
        <f>'Conservador'!Z32</f>
        <v/>
      </c>
      <c r="C13" s="8">
        <f>'Base'!Z32</f>
        <v/>
      </c>
      <c r="D13" s="8">
        <f>'Optimista'!Z32</f>
        <v/>
      </c>
      <c r="E13" s="7" t="inlineStr"/>
    </row>
    <row r="14">
      <c r="A14" s="5" t="inlineStr">
        <is>
          <t>Ingreso recurrente anualizado (ARR) mes 24</t>
        </is>
      </c>
      <c r="B14" s="8">
        <f>'Conservador'!Z61</f>
        <v/>
      </c>
      <c r="C14" s="8">
        <f>'Base'!Z61</f>
        <v/>
      </c>
      <c r="D14" s="8">
        <f>'Optimista'!Z61</f>
        <v/>
      </c>
      <c r="E14" s="7" t="inlineStr">
        <is>
          <t>MRR × 12.</t>
        </is>
      </c>
    </row>
    <row r="15">
      <c r="A15" s="5" t="inlineStr">
        <is>
          <t>Ingreso total acumulado 24 meses</t>
        </is>
      </c>
      <c r="B15" s="8">
        <f>SUM('Conservador'!C35:Z35)</f>
        <v/>
      </c>
      <c r="C15" s="8">
        <f>SUM('Base'!C35:Z35)</f>
        <v/>
      </c>
      <c r="D15" s="8">
        <f>SUM('Optimista'!C35:Z35)</f>
        <v/>
      </c>
      <c r="E15" s="7" t="inlineStr"/>
    </row>
    <row r="16">
      <c r="A16" s="5" t="inlineStr">
        <is>
          <t>Margen de contribución mes 24</t>
        </is>
      </c>
      <c r="B16" s="9">
        <f>'Conservador'!Z46</f>
        <v/>
      </c>
      <c r="C16" s="9">
        <f>'Base'!Z46</f>
        <v/>
      </c>
      <c r="D16" s="9">
        <f>'Optimista'!Z46</f>
        <v/>
      </c>
      <c r="E16" s="7" t="inlineStr">
        <is>
          <t>Lo que queda de cada peso tras IA, cobro, soporte y migraciones.</t>
        </is>
      </c>
    </row>
    <row r="17">
      <c r="A17" s="5" t="inlineStr">
        <is>
          <t>Flujo acumulado al mes 12</t>
        </is>
      </c>
      <c r="B17" s="8">
        <f>'Conservador'!N60</f>
        <v/>
      </c>
      <c r="C17" s="8">
        <f>'Base'!N60</f>
        <v/>
      </c>
      <c r="D17" s="8">
        <f>'Optimista'!N60</f>
        <v/>
      </c>
      <c r="E17" s="7" t="inlineStr"/>
    </row>
    <row r="18">
      <c r="A18" s="5" t="inlineStr">
        <is>
          <t>Flujo acumulado al mes 24</t>
        </is>
      </c>
      <c r="B18" s="8">
        <f>'Conservador'!Z60</f>
        <v/>
      </c>
      <c r="C18" s="8">
        <f>'Base'!Z60</f>
        <v/>
      </c>
      <c r="D18" s="8">
        <f>'Optimista'!Z60</f>
        <v/>
      </c>
      <c r="E18" s="7" t="inlineStr">
        <is>
          <t>Negativo = todavía no recupera lo invertido.</t>
        </is>
      </c>
    </row>
    <row r="19">
      <c r="A19" s="5" t="inlineStr">
        <is>
          <t>Capital requerido (peor punto del flujo acumulado)</t>
        </is>
      </c>
      <c r="B19" s="8">
        <f>MAX(0,-MIN('Conservador'!C60:Z60))</f>
        <v/>
      </c>
      <c r="C19" s="8">
        <f>MAX(0,-MIN('Base'!C60:Z60))</f>
        <v/>
      </c>
      <c r="D19" s="8">
        <f>MAX(0,-MIN('Optimista'!C60:Z60))</f>
        <v/>
      </c>
      <c r="E19" s="7" t="inlineStr">
        <is>
          <t>El dinero que hay que tener para no quedarse sin caja.</t>
        </is>
      </c>
    </row>
    <row r="20">
      <c r="A20" s="5" t="inlineStr">
        <is>
          <t>Primer mes con flujo positivo (# de mes)</t>
        </is>
      </c>
      <c r="B20" s="10">
        <f>MIN('Conservador'!C62:Z62)</f>
        <v/>
      </c>
      <c r="C20" s="10">
        <f>MIN('Base'!C62:Z62)</f>
        <v/>
      </c>
      <c r="D20" s="10">
        <f>MIN('Optimista'!C62:Z62)</f>
        <v/>
      </c>
      <c r="E20" s="7" t="inlineStr">
        <is>
          <t>99 = no ocurre en 24 meses. Mes 1 = dic-2026.</t>
        </is>
      </c>
    </row>
    <row r="21">
      <c r="A21" s="2" t="n"/>
      <c r="B21" s="2" t="n"/>
      <c r="C21" s="2" t="n"/>
      <c r="D21" s="2" t="n"/>
      <c r="E21" s="2" t="n"/>
    </row>
    <row r="22">
      <c r="A22" s="4" t="inlineStr">
        <is>
          <t>Economía por médico al mes (estado estable)</t>
        </is>
      </c>
      <c r="B22" s="4" t="inlineStr">
        <is>
          <t>Red</t>
        </is>
      </c>
      <c r="C22" s="4" t="inlineStr">
        <is>
          <t>Clínico</t>
        </is>
      </c>
      <c r="D22" s="4" t="inlineStr">
        <is>
          <t>Fundador*</t>
        </is>
      </c>
      <c r="E22" s="11" t="n"/>
    </row>
    <row r="23">
      <c r="A23" s="2" t="inlineStr">
        <is>
          <t>Ingreso sin IVA</t>
        </is>
      </c>
      <c r="B23" s="12">
        <f>Supuestos!$B$5/(1+Supuestos!$B$10)</f>
        <v/>
      </c>
      <c r="C23" s="12">
        <f>Supuestos!$B$6/(1+Supuestos!$B$10)</f>
        <v/>
      </c>
      <c r="D23" s="12">
        <f>Supuestos!$B$8/(1+Supuestos!$B$10)</f>
        <v/>
      </c>
      <c r="E23" s="2" t="n"/>
    </row>
    <row r="24">
      <c r="A24" s="2" t="inlineStr">
        <is>
          <t>IA (NOVA)</t>
        </is>
      </c>
      <c r="B24" s="12">
        <f>Supuestos!$B$17*Supuestos!$B$14</f>
        <v/>
      </c>
      <c r="C24" s="12">
        <f>Supuestos!$B$18*Supuestos!$B$14</f>
        <v/>
      </c>
      <c r="D24" s="12">
        <f>C24</f>
        <v/>
      </c>
      <c r="E24" s="2" t="n"/>
    </row>
    <row r="25">
      <c r="A25" s="2" t="inlineStr">
        <is>
          <t>Comisión de cobro + factura</t>
        </is>
      </c>
      <c r="B25" s="12">
        <f>(Supuestos!$B$32+Supuestos!$B$5*Supuestos!$B$31)*(1+Supuestos!$B$10)+Supuestos!$B$33</f>
        <v/>
      </c>
      <c r="C25" s="12">
        <f>(Supuestos!$B$32+Supuestos!$B$6*Supuestos!$B$31)*(1+Supuestos!$B$10)+Supuestos!$B$33</f>
        <v/>
      </c>
      <c r="D25" s="12">
        <f>(Supuestos!$B$32+Supuestos!$B$8*Supuestos!$B$31)*(1+Supuestos!$B$10)+Supuestos!$B$33</f>
        <v/>
      </c>
      <c r="E25" s="2" t="n"/>
    </row>
    <row r="26">
      <c r="A26" s="2" t="inlineStr">
        <is>
          <t>Soporte</t>
        </is>
      </c>
      <c r="B26" s="12">
        <f>Supuestos!$B$37*Supuestos!$B$38</f>
        <v/>
      </c>
      <c r="C26" s="12">
        <f>Supuestos!$B$37*Supuestos!$B$38</f>
        <v/>
      </c>
      <c r="D26" s="12">
        <f>Supuestos!$B$37*Supuestos!$B$38</f>
        <v/>
      </c>
      <c r="E26" s="2" t="n"/>
    </row>
    <row r="27">
      <c r="A27" s="13" t="inlineStr">
        <is>
          <t>Contribución por médico</t>
        </is>
      </c>
      <c r="B27" s="14">
        <f>B23-B24-B25-B26</f>
        <v/>
      </c>
      <c r="C27" s="14">
        <f>C23-C24-C25-C26</f>
        <v/>
      </c>
      <c r="D27" s="14">
        <f>D23-D24-D25-D26</f>
        <v/>
      </c>
      <c r="E27" s="2" t="n"/>
    </row>
    <row r="28">
      <c r="A28" s="2" t="inlineStr">
        <is>
          <t>Contribución %</t>
        </is>
      </c>
      <c r="B28" s="15">
        <f>IF(B23=0,0,B27/B23)</f>
        <v/>
      </c>
      <c r="C28" s="15">
        <f>IF(C23=0,0,C27/C23)</f>
        <v/>
      </c>
      <c r="D28" s="15">
        <f>IF(D23=0,0,D27/D23)</f>
        <v/>
      </c>
      <c r="E28" s="2" t="n"/>
    </row>
    <row r="29">
      <c r="A29" s="16" t="inlineStr">
        <is>
          <t>* Fundador ya con portal clínico (después del lanzamiento).</t>
        </is>
      </c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4" t="inlineStr">
        <is>
          <t>Punto de equilibrio</t>
        </is>
      </c>
      <c r="B31" s="11" t="n"/>
      <c r="C31" s="11" t="n"/>
      <c r="D31" s="11" t="n"/>
      <c r="E31" s="11" t="n"/>
    </row>
    <row r="32">
      <c r="A32" s="2" t="inlineStr">
        <is>
          <t>Costos fijos mensuales tras el lanzamiento (infra + contador + sueldo)</t>
        </is>
      </c>
      <c r="B32" s="17">
        <f>(Supuestos!$B$15+Supuestos!$B$16)*Supuestos!$B$14+Supuestos!$B$36+Supuestos!$B$40</f>
        <v/>
      </c>
      <c r="C32" s="2" t="n"/>
      <c r="D32" s="2" t="n"/>
      <c r="E32" s="2" t="n"/>
    </row>
    <row r="33">
      <c r="A33" s="2" t="inlineStr">
        <is>
          <t>Médicos Clínico necesarios para cubrir los fijos</t>
        </is>
      </c>
      <c r="B33" s="18">
        <f>IF(C27&lt;=0,"No se cubre",ROUNDUP(B32/C27,0))</f>
        <v/>
      </c>
      <c r="C33" s="2" t="n"/>
      <c r="D33" s="2" t="n"/>
      <c r="E33" s="7" t="inlineStr">
        <is>
          <t>Sin contar adquisición ni pagos únicos.</t>
        </is>
      </c>
    </row>
    <row r="34">
      <c r="A34" s="2" t="inlineStr">
        <is>
          <t>Médicos fundadores necesarios para cubrir los fijos</t>
        </is>
      </c>
      <c r="B34" s="18">
        <f>IF(D27&lt;=0,"No se cubre",ROUNDUP(B32/D27,0))</f>
        <v/>
      </c>
      <c r="C34" s="2" t="n"/>
      <c r="D34" s="2" t="n"/>
      <c r="E34" s="2" t="n"/>
    </row>
    <row r="35">
      <c r="A35" s="2" t="inlineStr">
        <is>
          <t>Médicos Clínico necesarios para pagarte un sueldo de</t>
        </is>
      </c>
      <c r="B35" s="19" t="n">
        <v>40000</v>
      </c>
      <c r="C35" s="18">
        <f>IF(C27&lt;=0,"No se cubre",ROUNDUP((B32-Supuestos!$B$40+B35)/C27,0))</f>
        <v/>
      </c>
      <c r="D35" s="2" t="n"/>
      <c r="E35" s="7" t="inlineStr">
        <is>
          <t>Cambia el monto en azul. Resultado en la columna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70" customWidth="1" min="5" max="5"/>
  </cols>
  <sheetData>
    <row r="1">
      <c r="A1" s="1" t="inlineStr">
        <is>
          <t>CODE CELLS™ — Modelo financiero 24 meses (dic-2026 a nov-2028)</t>
        </is>
      </c>
      <c r="B1" s="2" t="n"/>
      <c r="C1" s="2" t="n"/>
      <c r="D1" s="2" t="n"/>
      <c r="E1" s="2" t="n"/>
    </row>
    <row r="2" ht="30" customHeight="1">
      <c r="A2" s="20" t="inlineStr">
        <is>
          <t>Cómo usarlo: cambia solo las celdas en AZUL (las amarillas son las decisiones clave). Todo lo demás se calcula. Montos en MXN salvo que diga USD. Generado 2026-10-19.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Precios (MXN, con IVA)</t>
        </is>
      </c>
      <c r="B4" s="11" t="n"/>
      <c r="C4" s="11" t="n"/>
      <c r="D4" s="11" t="n"/>
      <c r="E4" s="4" t="inlineStr">
        <is>
          <t>Fuente / nota</t>
        </is>
      </c>
    </row>
    <row r="5">
      <c r="A5" s="5" t="inlineStr">
        <is>
          <t>Precio plan Red (mensual)</t>
        </is>
      </c>
      <c r="B5" s="19" t="n">
        <v>600</v>
      </c>
      <c r="C5" s="2" t="n"/>
      <c r="D5" s="2" t="n"/>
      <c r="E5" s="21" t="inlineStr">
        <is>
          <t>Dato de Víctor 2026-10-19. Directorio + solicitudes de cita.</t>
        </is>
      </c>
    </row>
    <row r="6">
      <c r="A6" s="5" t="inlineStr">
        <is>
          <t>Precio plan Clínico (mensual, incluye todo)</t>
        </is>
      </c>
      <c r="B6" s="19" t="n">
        <v>1100</v>
      </c>
      <c r="C6" s="2" t="n"/>
      <c r="D6" s="2" t="n"/>
      <c r="E6" s="21" t="inlineStr">
        <is>
          <t>Dato de Víctor 2026-10-19. Red + portal clínico + NOVA + app del paciente.</t>
        </is>
      </c>
    </row>
    <row r="7">
      <c r="A7" s="5" t="inlineStr">
        <is>
          <t>Precio fundador mientras solo existe Red (mensual)</t>
        </is>
      </c>
      <c r="B7" s="19" t="n">
        <v>600</v>
      </c>
      <c r="C7" s="2" t="n"/>
      <c r="D7" s="2" t="n"/>
      <c r="E7" s="21" t="inlineStr">
        <is>
          <t>Propuesta: el fundador paga lo mismo que Red mientras el portal clínico no existe.</t>
        </is>
      </c>
    </row>
    <row r="8">
      <c r="A8" s="5" t="inlineStr">
        <is>
          <t>Precio fundador con portal clínico (mensual)</t>
        </is>
      </c>
      <c r="B8" s="19" t="n">
        <v>800</v>
      </c>
      <c r="C8" s="2" t="n"/>
      <c r="D8" s="2" t="n"/>
      <c r="E8" s="21" t="inlineStr">
        <is>
          <t>Propuesta: al lanzarse el Clínico el fundador lo recibe a este precio congelado 24 meses (36 los primeros 25), contra 1 100 de lista. A 600 su contribución cae a ~147 MXN (28%). En 24 meses ningún fundador sale del precio congelado.</t>
        </is>
      </c>
    </row>
    <row r="9">
      <c r="A9" s="5" t="inlineStr">
        <is>
          <t>Lugares de fundador</t>
        </is>
      </c>
      <c r="B9" s="22" t="n">
        <v>100</v>
      </c>
      <c r="C9" s="2" t="n"/>
      <c r="D9" s="2" t="n"/>
      <c r="E9" s="21" t="inlineStr">
        <is>
          <t>Oferta de 100 médicos fundadores.</t>
        </is>
      </c>
    </row>
    <row r="10">
      <c r="A10" s="5" t="inlineStr">
        <is>
          <t>IVA</t>
        </is>
      </c>
      <c r="B10" s="23" t="n">
        <v>0.16</v>
      </c>
      <c r="C10" s="2" t="n"/>
      <c r="D10" s="2" t="n"/>
      <c r="E10" s="21" t="inlineStr">
        <is>
          <t>Los ingresos del modelo se calculan SIN IVA (el IVA se entera al SAT).</t>
        </is>
      </c>
    </row>
    <row r="11">
      <c r="A11" s="5" t="inlineStr">
        <is>
          <t>Precio de migración por paciente (con IVA)</t>
        </is>
      </c>
      <c r="B11" s="19" t="n">
        <v>58</v>
      </c>
      <c r="C11" s="2" t="n"/>
      <c r="D11" s="2" t="n"/>
      <c r="E11" s="21" t="inlineStr">
        <is>
          <t>Propuesta (Víctor decidió que la migración se cobra aparte): ~50 + IVA por paciente. Costo estimado ~32 por paciente (ver bloque Migración).</t>
        </is>
      </c>
    </row>
    <row r="12">
      <c r="A12" s="2" t="n"/>
      <c r="B12" s="2" t="n"/>
      <c r="C12" s="2" t="n"/>
      <c r="D12" s="2" t="n"/>
      <c r="E12" s="2" t="n"/>
    </row>
    <row r="13">
      <c r="A13" s="4" t="inlineStr">
        <is>
          <t>Tipo de cambio y costos en USD</t>
        </is>
      </c>
      <c r="B13" s="11" t="n"/>
      <c r="C13" s="11" t="n"/>
      <c r="D13" s="11" t="n"/>
      <c r="E13" s="4" t="inlineStr">
        <is>
          <t>Fuente / nota</t>
        </is>
      </c>
    </row>
    <row r="14">
      <c r="A14" s="5" t="inlineStr">
        <is>
          <t>Tipo de cambio MXN por USD</t>
        </is>
      </c>
      <c r="B14" s="24" t="n">
        <v>18.49</v>
      </c>
      <c r="C14" s="2" t="n"/>
      <c r="D14" s="2" t="n"/>
      <c r="E14" s="21" t="inlineStr">
        <is>
          <t>FIX Banxico 16-oct-2026 (18.4930). Prueba con 21 para ver el efecto de una devaluación.</t>
        </is>
      </c>
    </row>
    <row r="15">
      <c r="A15" s="5" t="inlineStr">
        <is>
          <t>Infraestructura actual (USD/mes)</t>
        </is>
      </c>
      <c r="B15" s="25" t="n">
        <v>68.33</v>
      </c>
      <c r="C15" s="2" t="n"/>
      <c r="D15" s="2" t="n"/>
      <c r="E15" s="21" t="inlineStr">
        <is>
          <t>Dato de Víctor: Airtable 20 + Vercel 20 + API Anthropic 20 + dominio 100/año.</t>
        </is>
      </c>
    </row>
    <row r="16">
      <c r="A16" s="5" t="inlineStr">
        <is>
          <t>Infraestructura nueva desde el lanzamiento Clínico (USD/mes)</t>
        </is>
      </c>
      <c r="B16" s="25" t="n">
        <v>80</v>
      </c>
      <c r="C16" s="2" t="n"/>
      <c r="D16" s="2" t="n"/>
      <c r="E16" s="21" t="inlineStr">
        <is>
          <t>Estimado: PostgreSQL ~25, respaldos, monitoreo 0–26, correo 0–20, Cloudflare R2. Ver docs/VALUACION-2026-10-19.md §4.</t>
        </is>
      </c>
    </row>
    <row r="17">
      <c r="A17" s="5" t="inlineStr">
        <is>
          <t>IA por médico en plan Red (USD/mes)</t>
        </is>
      </c>
      <c r="B17" s="25" t="n">
        <v>0.5</v>
      </c>
      <c r="C17" s="2" t="n"/>
      <c r="D17" s="2" t="n"/>
      <c r="E17" s="21" t="inlineStr">
        <is>
          <t>Estimado: el directorio casi no usa NOVA.</t>
        </is>
      </c>
    </row>
    <row r="18">
      <c r="A18" s="5" t="inlineStr">
        <is>
          <t>IA por médico en plan Clínico (USD/mes)</t>
        </is>
      </c>
      <c r="B18" s="26" t="n">
        <v>14.1</v>
      </c>
      <c r="C18" s="2" t="n"/>
      <c r="D18" s="2" t="n"/>
      <c r="E18" s="21" t="inlineStr">
        <is>
          <t>Estimado con caché de instrucciones: mezcla 30% bajo (4) / 50% medio (13) / 20% alto (32). SIN caché se duplica (~28). Tope de NOVA por paciente (decisión de Víctor).</t>
        </is>
      </c>
    </row>
    <row r="19">
      <c r="A19" s="2" t="n"/>
      <c r="B19" s="2" t="n"/>
      <c r="C19" s="2" t="n"/>
      <c r="D19" s="2" t="n"/>
      <c r="E19" s="2" t="n"/>
    </row>
    <row r="20">
      <c r="A20" s="4" t="inlineStr">
        <is>
          <t>Almacenamiento de archivos (por GB)</t>
        </is>
      </c>
      <c r="B20" s="11" t="n"/>
      <c r="C20" s="11" t="n"/>
      <c r="D20" s="11" t="n"/>
      <c r="E20" s="4" t="inlineStr">
        <is>
          <t>Fuente / nota</t>
        </is>
      </c>
    </row>
    <row r="21">
      <c r="A21" s="5" t="inlineStr">
        <is>
          <t>GB incluidos en el plan Clínico</t>
        </is>
      </c>
      <c r="B21" s="27" t="n">
        <v>20</v>
      </c>
      <c r="C21" s="2" t="n"/>
      <c r="D21" s="2" t="n"/>
      <c r="E21" s="21" t="inlineStr">
        <is>
          <t>Propuesta. Ejemplo de Víctor: 4–6 fotos pre/post (~4 MB c/u) + consentimientos ≈ 26 MB por paciente quirúrgico → 100 pacientes al año ≈ 2.6 GB.</t>
        </is>
      </c>
    </row>
    <row r="22">
      <c r="A22" s="5" t="inlineStr">
        <is>
          <t>GB incluidos en el plan Red</t>
        </is>
      </c>
      <c r="B22" s="22" t="n">
        <v>1</v>
      </c>
      <c r="C22" s="2" t="n"/>
      <c r="D22" s="2" t="n"/>
      <c r="E22" s="21" t="inlineStr">
        <is>
          <t>Propuesta: solo fotos de perfil y documentos del directorio.</t>
        </is>
      </c>
    </row>
    <row r="23">
      <c r="A23" s="5" t="inlineStr">
        <is>
          <t>Precio por GB adicional al mes (con IVA)</t>
        </is>
      </c>
      <c r="B23" s="19" t="n">
        <v>2</v>
      </c>
      <c r="C23" s="2" t="n"/>
      <c r="D23" s="2" t="n"/>
      <c r="E23" s="21" t="inlineStr">
        <is>
          <t>Propuesta. Para volúmenes de TB (imagenología) ofrecer paquete, p. ej. 1 TB por ~$990/mes (costo ~$410).</t>
        </is>
      </c>
    </row>
    <row r="24">
      <c r="A24" s="5" t="inlineStr">
        <is>
          <t>GB nuevos por médico Clínico al mes (promedio)</t>
        </is>
      </c>
      <c r="B24" s="28" t="n">
        <v>0.5</v>
      </c>
      <c r="C24" s="2" t="n"/>
      <c r="D24" s="2" t="n"/>
      <c r="E24" s="21" t="inlineStr">
        <is>
          <t>Estimado: mezcla de especialidades. Muy variable: de MB a TB según la especialidad.</t>
        </is>
      </c>
    </row>
    <row r="25">
      <c r="A25" s="5" t="inlineStr">
        <is>
          <t>% de médicos que superan lo incluido</t>
        </is>
      </c>
      <c r="B25" s="29" t="n">
        <v>0.1</v>
      </c>
      <c r="C25" s="2" t="n"/>
      <c r="D25" s="2" t="n"/>
      <c r="E25" s="21" t="inlineStr">
        <is>
          <t>Estimado: cirugía plástica, dermatología, imagen, oftalmología.</t>
        </is>
      </c>
    </row>
    <row r="26">
      <c r="A26" s="5" t="inlineStr">
        <is>
          <t>GB adicionales promedio de esos médicos</t>
        </is>
      </c>
      <c r="B26" s="27" t="n">
        <v>100</v>
      </c>
      <c r="C26" s="2" t="n"/>
      <c r="D26" s="2" t="n"/>
      <c r="E26" s="21" t="inlineStr">
        <is>
          <t>Estimado. Un médico de imagenología puede llegar a TB: cotizar paquete.</t>
        </is>
      </c>
    </row>
    <row r="27">
      <c r="A27" s="5" t="inlineStr">
        <is>
          <t>Costo por GB al mes, copia principal (USD)</t>
        </is>
      </c>
      <c r="B27" s="30" t="n">
        <v>0.015</v>
      </c>
      <c r="C27" s="2" t="n"/>
      <c r="D27" s="2" t="n"/>
      <c r="E27" s="21" t="inlineStr">
        <is>
          <t>Verificado: Cloudflare R2 0.015 USD/GB, sin cargo por descarga.</t>
        </is>
      </c>
    </row>
    <row r="28">
      <c r="A28" s="5" t="inlineStr">
        <is>
          <t>Costo por GB al mes, copia de respaldo (USD)</t>
        </is>
      </c>
      <c r="B28" s="31" t="n">
        <v>0.00695</v>
      </c>
      <c r="C28" s="2" t="n"/>
      <c r="D28" s="2" t="n"/>
      <c r="E28" s="21" t="inlineStr">
        <is>
          <t>Secundario: Backblaze B2 ~6.95 USD/TB. Respaldo en otro proveedor.</t>
        </is>
      </c>
    </row>
    <row r="29">
      <c r="A29" s="2" t="n"/>
      <c r="B29" s="2" t="n"/>
      <c r="C29" s="2" t="n"/>
      <c r="D29" s="2" t="n"/>
      <c r="E29" s="2" t="n"/>
    </row>
    <row r="30">
      <c r="A30" s="4" t="inlineStr">
        <is>
          <t>Cobro</t>
        </is>
      </c>
      <c r="B30" s="11" t="n"/>
      <c r="C30" s="11" t="n"/>
      <c r="D30" s="11" t="n"/>
      <c r="E30" s="4" t="inlineStr">
        <is>
          <t>Fuente / nota</t>
        </is>
      </c>
    </row>
    <row r="31">
      <c r="A31" s="5" t="inlineStr">
        <is>
          <t>Comisión de la pasarela (% del cobro)</t>
        </is>
      </c>
      <c r="B31" s="23" t="n">
        <v>0.036</v>
      </c>
      <c r="C31" s="2" t="n"/>
      <c r="D31" s="2" t="n"/>
      <c r="E31" s="21" t="inlineStr">
        <is>
          <t>Secundario: Stripe México ~3.6% + 3 MXN por tarjeta nacional. Se suma IVA sobre la comisión.</t>
        </is>
      </c>
    </row>
    <row r="32">
      <c r="A32" s="5" t="inlineStr">
        <is>
          <t>Comisión fija por cobro (MXN)</t>
        </is>
      </c>
      <c r="B32" s="32" t="n">
        <v>3</v>
      </c>
      <c r="C32" s="2" t="n"/>
      <c r="D32" s="2" t="n"/>
      <c r="E32" s="21" t="inlineStr">
        <is>
          <t>Secundario (Stripe).</t>
        </is>
      </c>
    </row>
    <row r="33">
      <c r="A33" s="5" t="inlineStr">
        <is>
          <t>Timbrado CFDI por factura (MXN)</t>
        </is>
      </c>
      <c r="B33" s="32" t="n">
        <v>2</v>
      </c>
      <c r="C33" s="2" t="n"/>
      <c r="D33" s="2" t="n"/>
      <c r="E33" s="21" t="inlineStr">
        <is>
          <t>Secundario: 0.50–2 MXN por folio según el PAC.</t>
        </is>
      </c>
    </row>
    <row r="34">
      <c r="A34" s="2" t="n"/>
      <c r="B34" s="2" t="n"/>
      <c r="C34" s="2" t="n"/>
      <c r="D34" s="2" t="n"/>
      <c r="E34" s="2" t="n"/>
    </row>
    <row r="35">
      <c r="A35" s="4" t="inlineStr">
        <is>
          <t>Operación</t>
        </is>
      </c>
      <c r="B35" s="11" t="n"/>
      <c r="C35" s="11" t="n"/>
      <c r="D35" s="11" t="n"/>
      <c r="E35" s="4" t="inlineStr">
        <is>
          <t>Fuente / nota</t>
        </is>
      </c>
    </row>
    <row r="36">
      <c r="A36" s="5" t="inlineStr">
        <is>
          <t>Contador (MXN/mes)</t>
        </is>
      </c>
      <c r="B36" s="19" t="n">
        <v>2500</v>
      </c>
      <c r="C36" s="2" t="n"/>
      <c r="D36" s="2" t="n"/>
      <c r="E36" s="21" t="inlineStr">
        <is>
          <t>COTIZAR. Valor de ejemplo.</t>
        </is>
      </c>
    </row>
    <row r="37">
      <c r="A37" s="5" t="inlineStr">
        <is>
          <t>Horas de soporte por médico al mes</t>
        </is>
      </c>
      <c r="B37" s="33" t="n">
        <v>0.5</v>
      </c>
      <c r="C37" s="2" t="n"/>
      <c r="D37" s="2" t="n"/>
      <c r="E37" s="21" t="inlineStr">
        <is>
          <t>Estimado.</t>
        </is>
      </c>
    </row>
    <row r="38">
      <c r="A38" s="5" t="inlineStr">
        <is>
          <t>Costo por hora de soporte (MXN)</t>
        </is>
      </c>
      <c r="B38" s="32" t="n">
        <v>150</v>
      </c>
      <c r="C38" s="2" t="n"/>
      <c r="D38" s="2" t="n"/>
      <c r="E38" s="21" t="inlineStr">
        <is>
          <t>Estimado (asistente de soporte).</t>
        </is>
      </c>
    </row>
    <row r="39">
      <c r="A39" s="5" t="inlineStr">
        <is>
          <t>Costo de adquisición por médico nuevo (MXN)</t>
        </is>
      </c>
      <c r="B39" s="19" t="n">
        <v>1500</v>
      </c>
      <c r="C39" s="2" t="n"/>
      <c r="D39" s="2" t="n"/>
      <c r="E39" s="21" t="inlineStr">
        <is>
          <t>Estimado: publicidad, visitas, demo. Medirlo en el piloto.</t>
        </is>
      </c>
    </row>
    <row r="40">
      <c r="A40" s="5" t="inlineStr">
        <is>
          <t>Sueldo de Víctor (MXN/mes)</t>
        </is>
      </c>
      <c r="B40" s="19" t="n">
        <v>0</v>
      </c>
      <c r="C40" s="2" t="n"/>
      <c r="D40" s="2" t="n"/>
      <c r="E40" s="21" t="inlineStr">
        <is>
          <t>Decisión: en 0 el modelo muestra el flujo sin pagar tu tiempo. Ponle un monto para ver cuándo se sostiene pagándote.</t>
        </is>
      </c>
    </row>
    <row r="41">
      <c r="A41" s="5" t="inlineStr">
        <is>
          <t>Abogado (pago único, mes 1)</t>
        </is>
      </c>
      <c r="B41" s="19" t="n">
        <v>40000</v>
      </c>
      <c r="C41" s="2" t="n"/>
      <c r="D41" s="2" t="n"/>
      <c r="E41" s="21" t="inlineStr">
        <is>
          <t>COTIZAR: aviso de privacidad clínico, contrato de afiliación, términos.</t>
        </is>
      </c>
    </row>
    <row r="42">
      <c r="A42" s="5" t="inlineStr">
        <is>
          <t>Prueba de penetración (pago único, mes de lanzamiento Clínico)</t>
        </is>
      </c>
      <c r="B42" s="19" t="n">
        <v>50000</v>
      </c>
      <c r="C42" s="2" t="n"/>
      <c r="D42" s="2" t="n"/>
      <c r="E42" s="21" t="inlineStr">
        <is>
          <t>COTIZAR.</t>
        </is>
      </c>
    </row>
    <row r="43">
      <c r="A43" s="5" t="inlineStr">
        <is>
          <t>Mes de lanzamiento del plan Clínico (1 = dic-2026)</t>
        </is>
      </c>
      <c r="B43" s="27" t="n">
        <v>6</v>
      </c>
      <c r="C43" s="2" t="n"/>
      <c r="D43" s="2" t="n"/>
      <c r="E43" s="21" t="inlineStr">
        <is>
          <t>Supuesto: mayo-2027, tras acta constitutiva + IMPI + abogado.</t>
        </is>
      </c>
    </row>
    <row r="44">
      <c r="A44" s="2" t="n"/>
      <c r="B44" s="2" t="n"/>
      <c r="C44" s="2" t="n"/>
      <c r="D44" s="2" t="n"/>
      <c r="E44" s="2" t="n"/>
    </row>
    <row r="45">
      <c r="A45" s="4" t="inlineStr">
        <is>
          <t>Migración de expedientes (costo de producirla)</t>
        </is>
      </c>
      <c r="B45" s="11" t="n"/>
      <c r="C45" s="11" t="n"/>
      <c r="D45" s="11" t="n"/>
      <c r="E45" s="4" t="inlineStr">
        <is>
          <t>Fuente / nota</t>
        </is>
      </c>
    </row>
    <row r="46">
      <c r="A46" s="5" t="inlineStr">
        <is>
          <t>Pacientes promedio por migración</t>
        </is>
      </c>
      <c r="B46" s="22" t="n">
        <v>200</v>
      </c>
      <c r="C46" s="2" t="n"/>
      <c r="D46" s="2" t="n"/>
      <c r="E46" s="21" t="inlineStr">
        <is>
          <t>Estimado.</t>
        </is>
      </c>
    </row>
    <row r="47">
      <c r="A47" s="5" t="inlineStr">
        <is>
          <t>Páginas por paciente</t>
        </is>
      </c>
      <c r="B47" s="22" t="n">
        <v>10</v>
      </c>
      <c r="C47" s="2" t="n"/>
      <c r="D47" s="2" t="n"/>
      <c r="E47" s="21" t="inlineStr">
        <is>
          <t>Estimado.</t>
        </is>
      </c>
    </row>
    <row r="48">
      <c r="A48" s="5" t="inlineStr">
        <is>
          <t>IA por página (USD)</t>
        </is>
      </c>
      <c r="B48" s="30" t="n">
        <v>0.013</v>
      </c>
      <c r="C48" s="2" t="n"/>
      <c r="D48" s="2" t="n"/>
      <c r="E48" s="21" t="inlineStr">
        <is>
          <t>Estimado (lectura de imagen con Claude Sonnet 5; la mitad en modo por lotes).</t>
        </is>
      </c>
    </row>
    <row r="49">
      <c r="A49" s="5" t="inlineStr">
        <is>
          <t>Minutos de revisión humana por página</t>
        </is>
      </c>
      <c r="B49" s="33" t="n">
        <v>1.5</v>
      </c>
      <c r="C49" s="2" t="n"/>
      <c r="D49" s="2" t="n"/>
      <c r="E49" s="21" t="inlineStr">
        <is>
          <t>Estimado: verificar identidad y valores (no se inventa nada).</t>
        </is>
      </c>
    </row>
    <row r="50">
      <c r="A50" s="5" t="inlineStr">
        <is>
          <t>Sueldo mensual por persona de migración (MXN, con cargas)</t>
        </is>
      </c>
      <c r="B50" s="19" t="n">
        <v>18000</v>
      </c>
      <c r="C50" s="2" t="n"/>
      <c r="D50" s="2" t="n"/>
      <c r="E50" s="21" t="inlineStr">
        <is>
          <t>Decisión de Víctor: se contrata personal. Monto COTIZAR.</t>
        </is>
      </c>
    </row>
    <row r="51">
      <c r="A51" s="5" t="inlineStr">
        <is>
          <t>Horas productivas al mes por persona</t>
        </is>
      </c>
      <c r="B51" s="22" t="n">
        <v>140</v>
      </c>
      <c r="C51" s="2" t="n"/>
      <c r="D51" s="2" t="n"/>
      <c r="E51" s="21" t="inlineStr">
        <is>
          <t>Estimado.</t>
        </is>
      </c>
    </row>
    <row r="52">
      <c r="A52" s="5" t="inlineStr">
        <is>
          <t>Meses de anticipación para contratar y capacitar antes de Regene</t>
        </is>
      </c>
      <c r="B52" s="27" t="n">
        <v>2</v>
      </c>
      <c r="C52" s="2" t="n"/>
      <c r="D52" s="2" t="n"/>
      <c r="E52" s="21" t="inlineStr">
        <is>
          <t>La primera persona entra este número de meses antes del canal Regene.</t>
        </is>
      </c>
    </row>
    <row r="53">
      <c r="A53" s="5" t="inlineStr">
        <is>
          <t>Capacitación inicial (pago único al contratar)</t>
        </is>
      </c>
      <c r="B53" s="19" t="n">
        <v>15000</v>
      </c>
      <c r="C53" s="2" t="n"/>
      <c r="D53" s="2" t="n"/>
      <c r="E53" s="21" t="inlineStr">
        <is>
          <t>Estimado: NOM-004, LFPDPPP, identidad, uso del sistema. COTIZAR.</t>
        </is>
      </c>
    </row>
    <row r="54">
      <c r="A54" s="2" t="n"/>
      <c r="B54" s="2" t="n"/>
      <c r="C54" s="2" t="n"/>
      <c r="D54" s="2" t="n"/>
      <c r="E54" s="2" t="n"/>
    </row>
    <row r="55">
      <c r="A55" s="4" t="inlineStr">
        <is>
          <t>Canal Regene Global</t>
        </is>
      </c>
      <c r="B55" s="11" t="n"/>
      <c r="C55" s="11" t="n"/>
      <c r="D55" s="11" t="n"/>
      <c r="E55" s="4" t="inlineStr">
        <is>
          <t>Fuente / nota</t>
        </is>
      </c>
    </row>
    <row r="56">
      <c r="A56" s="5" t="inlineStr">
        <is>
          <t>Médicos afiliados a Regene Global</t>
        </is>
      </c>
      <c r="B56" s="22" t="n">
        <v>2500</v>
      </c>
      <c r="C56" s="2" t="n"/>
      <c r="D56" s="2" t="n"/>
      <c r="E56" s="21" t="inlineStr">
        <is>
          <t>Dato de Víctor 2026-10-19 (aproximado).</t>
        </is>
      </c>
    </row>
    <row r="57">
      <c r="A57" s="5" t="inlineStr">
        <is>
          <t>Mes en que arranca el canal Regene (1 = dic-2026)</t>
        </is>
      </c>
      <c r="B57" s="27" t="n">
        <v>13</v>
      </c>
      <c r="C57" s="2" t="n"/>
      <c r="D57" s="2" t="n"/>
      <c r="E57" s="21" t="inlineStr">
        <is>
          <t>Decisión de Víctor: primero arrancamos solos; Regene entra cuando haya infraestructura para 1 000 médicos y personal de migración capacitado. Supuesto: dic-2027 (el trabajo técnico pendiente es de 285–580 h).</t>
        </is>
      </c>
    </row>
    <row r="58">
      <c r="A58" s="5" t="inlineStr">
        <is>
          <t>Descuento o comisión para el canal Regene</t>
        </is>
      </c>
      <c r="B58" s="23" t="n">
        <v>0</v>
      </c>
      <c r="C58" s="2" t="n"/>
      <c r="D58" s="2" t="n"/>
      <c r="E58" s="21" t="inlineStr">
        <is>
          <t>Dato de Víctor: Regene no cobra, solo refiere a los médicos. Precio de lista.</t>
        </is>
      </c>
    </row>
    <row r="59">
      <c r="A59" s="5" t="inlineStr">
        <is>
          <t>Infraestructura para 1 000 médicos (USD/mes, desde el mes previo a Regene)</t>
        </is>
      </c>
      <c r="B59" s="26" t="n">
        <v>150</v>
      </c>
      <c r="C59" s="2" t="n"/>
      <c r="D59" s="2" t="n"/>
      <c r="E59" s="21" t="inlineStr">
        <is>
          <t>Estimado: base de datos y almacenamiento dimensionados para 1 000 médicos. Cotizar.</t>
        </is>
      </c>
    </row>
    <row r="60">
      <c r="A60" s="5" t="inlineStr">
        <is>
          <t>Costo de incorporar a un médico Regene (MXN)</t>
        </is>
      </c>
      <c r="B60" s="32" t="n">
        <v>300</v>
      </c>
      <c r="C60" s="2" t="n"/>
      <c r="D60" s="2" t="n"/>
      <c r="E60" s="21" t="inlineStr">
        <is>
          <t>Estimado: alta, capacitación grupal. Menor que el costo de adquisición normal.</t>
        </is>
      </c>
    </row>
    <row r="61">
      <c r="A61" s="5" t="inlineStr">
        <is>
          <t>Infraestructura adicional por cada 100 médicos (USD/mes)</t>
        </is>
      </c>
      <c r="B61" s="25" t="n">
        <v>25</v>
      </c>
      <c r="C61" s="2" t="n"/>
      <c r="D61" s="2" t="n"/>
      <c r="E61" s="21" t="inlineStr">
        <is>
          <t>Estimado: base de datos y cómputo más grandes al crecer.</t>
        </is>
      </c>
    </row>
    <row r="62">
      <c r="A62" s="2" t="n"/>
      <c r="B62" s="2" t="n"/>
      <c r="C62" s="2" t="n"/>
      <c r="D62" s="2" t="n"/>
      <c r="E62" s="2" t="n"/>
    </row>
    <row r="63">
      <c r="A63" s="4" t="inlineStr">
        <is>
          <t>Escenarios</t>
        </is>
      </c>
      <c r="B63" s="34" t="inlineStr">
        <is>
          <t>Conservador</t>
        </is>
      </c>
      <c r="C63" s="34" t="inlineStr">
        <is>
          <t>Base</t>
        </is>
      </c>
      <c r="D63" s="34" t="inlineStr">
        <is>
          <t>Optimista</t>
        </is>
      </c>
      <c r="E63" s="4" t="inlineStr">
        <is>
          <t>Fuente / nota</t>
        </is>
      </c>
    </row>
    <row r="64">
      <c r="A64" s="5" t="inlineStr">
        <is>
          <t>Médicos nuevos por mes</t>
        </is>
      </c>
      <c r="B64" s="27" t="n">
        <v>3</v>
      </c>
      <c r="C64" s="27" t="n">
        <v>6</v>
      </c>
      <c r="D64" s="27" t="n">
        <v>10</v>
      </c>
      <c r="E64" s="21" t="inlineStr">
        <is>
          <t>Estimado. El piloto de diciembre es de 5–10 médicos.</t>
        </is>
      </c>
    </row>
    <row r="65">
      <c r="A65" s="5" t="inlineStr">
        <is>
          <t>Cancelación mensual</t>
        </is>
      </c>
      <c r="B65" s="29" t="n">
        <v>0.04</v>
      </c>
      <c r="C65" s="29" t="n">
        <v>0.03</v>
      </c>
      <c r="D65" s="29" t="n">
        <v>0.02</v>
      </c>
      <c r="E65" s="21" t="inlineStr">
        <is>
          <t>Estimado. SaaS para médicos pequeños: 2–5% mensual es un rango común.</t>
        </is>
      </c>
    </row>
    <row r="66">
      <c r="A66" s="5" t="inlineStr">
        <is>
          <t>% de médicos nuevos (no fundadores) que eligen Clínico tras el lanzamiento</t>
        </is>
      </c>
      <c r="B66" s="23" t="n">
        <v>0.4</v>
      </c>
      <c r="C66" s="23" t="n">
        <v>0.5</v>
      </c>
      <c r="D66" s="23" t="n">
        <v>0.6</v>
      </c>
      <c r="E66" s="21" t="inlineStr">
        <is>
          <t>Estimado.</t>
        </is>
      </c>
    </row>
    <row r="67">
      <c r="A67" s="5" t="inlineStr">
        <is>
          <t>% de médicos Red que suben a Clínico cada mes tras el lanzamiento</t>
        </is>
      </c>
      <c r="B67" s="23" t="n">
        <v>0.03</v>
      </c>
      <c r="C67" s="23" t="n">
        <v>0.05</v>
      </c>
      <c r="D67" s="23" t="n">
        <v>0.08</v>
      </c>
      <c r="E67" s="21" t="inlineStr">
        <is>
          <t>Estimado.</t>
        </is>
      </c>
    </row>
    <row r="68">
      <c r="A68" s="5" t="inlineStr">
        <is>
          <t>% de médicos que entran a Clínico y compran migración</t>
        </is>
      </c>
      <c r="B68" s="23" t="n">
        <v>0.2</v>
      </c>
      <c r="C68" s="23" t="n">
        <v>0.3</v>
      </c>
      <c r="D68" s="23" t="n">
        <v>0.4</v>
      </c>
      <c r="E68" s="21" t="inlineStr">
        <is>
          <t>Estimado.</t>
        </is>
      </c>
    </row>
    <row r="69">
      <c r="A69" s="5" t="inlineStr">
        <is>
          <t>% de médicos Regene que se afilian (repartido del mes de arranque al mes 24)</t>
        </is>
      </c>
      <c r="B69" s="29" t="n">
        <v>0.05</v>
      </c>
      <c r="C69" s="29" t="n">
        <v>0.1</v>
      </c>
      <c r="D69" s="29" t="n">
        <v>0.2</v>
      </c>
      <c r="E69" s="21" t="inlineStr">
        <is>
          <t>Estimado. 5% = 125 médicos; 20% = 500.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Escenario Conservador — mes a mes (MXN sin IVA)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inlineStr">
        <is>
          <t>Mes #</t>
        </is>
      </c>
      <c r="B3" s="2" t="n"/>
      <c r="C3" s="35" t="n">
        <v>1</v>
      </c>
      <c r="D3" s="35" t="n">
        <v>2</v>
      </c>
      <c r="E3" s="35" t="n">
        <v>3</v>
      </c>
      <c r="F3" s="35" t="n">
        <v>4</v>
      </c>
      <c r="G3" s="35" t="n">
        <v>5</v>
      </c>
      <c r="H3" s="35" t="n">
        <v>6</v>
      </c>
      <c r="I3" s="35" t="n">
        <v>7</v>
      </c>
      <c r="J3" s="35" t="n">
        <v>8</v>
      </c>
      <c r="K3" s="35" t="n">
        <v>9</v>
      </c>
      <c r="L3" s="35" t="n">
        <v>10</v>
      </c>
      <c r="M3" s="35" t="n">
        <v>11</v>
      </c>
      <c r="N3" s="35" t="n">
        <v>12</v>
      </c>
      <c r="O3" s="35" t="n">
        <v>13</v>
      </c>
      <c r="P3" s="35" t="n">
        <v>14</v>
      </c>
      <c r="Q3" s="35" t="n">
        <v>15</v>
      </c>
      <c r="R3" s="35" t="n">
        <v>16</v>
      </c>
      <c r="S3" s="35" t="n">
        <v>17</v>
      </c>
      <c r="T3" s="35" t="n">
        <v>18</v>
      </c>
      <c r="U3" s="35" t="n">
        <v>19</v>
      </c>
      <c r="V3" s="35" t="n">
        <v>20</v>
      </c>
      <c r="W3" s="35" t="n">
        <v>21</v>
      </c>
      <c r="X3" s="35" t="n">
        <v>22</v>
      </c>
      <c r="Y3" s="35" t="n">
        <v>23</v>
      </c>
      <c r="Z3" s="35" t="n">
        <v>24</v>
      </c>
    </row>
    <row r="4">
      <c r="A4" s="5" t="inlineStr">
        <is>
          <t>Mes</t>
        </is>
      </c>
      <c r="B4" s="2" t="n"/>
      <c r="C4" s="35" t="inlineStr">
        <is>
          <t>dic-2026</t>
        </is>
      </c>
      <c r="D4" s="35" t="inlineStr">
        <is>
          <t>ene-2027</t>
        </is>
      </c>
      <c r="E4" s="35" t="inlineStr">
        <is>
          <t>feb-2027</t>
        </is>
      </c>
      <c r="F4" s="35" t="inlineStr">
        <is>
          <t>mar-2027</t>
        </is>
      </c>
      <c r="G4" s="35" t="inlineStr">
        <is>
          <t>abr-2027</t>
        </is>
      </c>
      <c r="H4" s="35" t="inlineStr">
        <is>
          <t>may-2027</t>
        </is>
      </c>
      <c r="I4" s="35" t="inlineStr">
        <is>
          <t>jun-2027</t>
        </is>
      </c>
      <c r="J4" s="35" t="inlineStr">
        <is>
          <t>jul-2027</t>
        </is>
      </c>
      <c r="K4" s="35" t="inlineStr">
        <is>
          <t>ago-2027</t>
        </is>
      </c>
      <c r="L4" s="35" t="inlineStr">
        <is>
          <t>sep-2027</t>
        </is>
      </c>
      <c r="M4" s="35" t="inlineStr">
        <is>
          <t>oct-2027</t>
        </is>
      </c>
      <c r="N4" s="35" t="inlineStr">
        <is>
          <t>nov-2027</t>
        </is>
      </c>
      <c r="O4" s="35" t="inlineStr">
        <is>
          <t>dic-2027</t>
        </is>
      </c>
      <c r="P4" s="35" t="inlineStr">
        <is>
          <t>ene-2028</t>
        </is>
      </c>
      <c r="Q4" s="35" t="inlineStr">
        <is>
          <t>feb-2028</t>
        </is>
      </c>
      <c r="R4" s="35" t="inlineStr">
        <is>
          <t>mar-2028</t>
        </is>
      </c>
      <c r="S4" s="35" t="inlineStr">
        <is>
          <t>abr-2028</t>
        </is>
      </c>
      <c r="T4" s="35" t="inlineStr">
        <is>
          <t>may-2028</t>
        </is>
      </c>
      <c r="U4" s="35" t="inlineStr">
        <is>
          <t>jun-2028</t>
        </is>
      </c>
      <c r="V4" s="35" t="inlineStr">
        <is>
          <t>jul-2028</t>
        </is>
      </c>
      <c r="W4" s="35" t="inlineStr">
        <is>
          <t>ago-2028</t>
        </is>
      </c>
      <c r="X4" s="35" t="inlineStr">
        <is>
          <t>sep-2028</t>
        </is>
      </c>
      <c r="Y4" s="35" t="inlineStr">
        <is>
          <t>oct-2028</t>
        </is>
      </c>
      <c r="Z4" s="35" t="inlineStr">
        <is>
          <t>nov-2028</t>
        </is>
      </c>
    </row>
    <row r="5">
      <c r="A5" s="5" t="inlineStr">
        <is>
          <t>Plan Clínico disponible (1 = sí)</t>
        </is>
      </c>
      <c r="B5" s="2" t="n"/>
      <c r="C5" s="36">
        <f>IF(C3&gt;=Supuestos!$B$43,1,0)</f>
        <v/>
      </c>
      <c r="D5" s="36">
        <f>IF(D3&gt;=Supuestos!$B$43,1,0)</f>
        <v/>
      </c>
      <c r="E5" s="36">
        <f>IF(E3&gt;=Supuestos!$B$43,1,0)</f>
        <v/>
      </c>
      <c r="F5" s="36">
        <f>IF(F3&gt;=Supuestos!$B$43,1,0)</f>
        <v/>
      </c>
      <c r="G5" s="36">
        <f>IF(G3&gt;=Supuestos!$B$43,1,0)</f>
        <v/>
      </c>
      <c r="H5" s="36">
        <f>IF(H3&gt;=Supuestos!$B$43,1,0)</f>
        <v/>
      </c>
      <c r="I5" s="36">
        <f>IF(I3&gt;=Supuestos!$B$43,1,0)</f>
        <v/>
      </c>
      <c r="J5" s="36">
        <f>IF(J3&gt;=Supuestos!$B$43,1,0)</f>
        <v/>
      </c>
      <c r="K5" s="36">
        <f>IF(K3&gt;=Supuestos!$B$43,1,0)</f>
        <v/>
      </c>
      <c r="L5" s="36">
        <f>IF(L3&gt;=Supuestos!$B$43,1,0)</f>
        <v/>
      </c>
      <c r="M5" s="36">
        <f>IF(M3&gt;=Supuestos!$B$43,1,0)</f>
        <v/>
      </c>
      <c r="N5" s="36">
        <f>IF(N3&gt;=Supuestos!$B$43,1,0)</f>
        <v/>
      </c>
      <c r="O5" s="36">
        <f>IF(O3&gt;=Supuestos!$B$43,1,0)</f>
        <v/>
      </c>
      <c r="P5" s="36">
        <f>IF(P3&gt;=Supuestos!$B$43,1,0)</f>
        <v/>
      </c>
      <c r="Q5" s="36">
        <f>IF(Q3&gt;=Supuestos!$B$43,1,0)</f>
        <v/>
      </c>
      <c r="R5" s="36">
        <f>IF(R3&gt;=Supuestos!$B$43,1,0)</f>
        <v/>
      </c>
      <c r="S5" s="36">
        <f>IF(S3&gt;=Supuestos!$B$43,1,0)</f>
        <v/>
      </c>
      <c r="T5" s="36">
        <f>IF(T3&gt;=Supuestos!$B$43,1,0)</f>
        <v/>
      </c>
      <c r="U5" s="36">
        <f>IF(U3&gt;=Supuestos!$B$43,1,0)</f>
        <v/>
      </c>
      <c r="V5" s="36">
        <f>IF(V3&gt;=Supuestos!$B$43,1,0)</f>
        <v/>
      </c>
      <c r="W5" s="36">
        <f>IF(W3&gt;=Supuestos!$B$43,1,0)</f>
        <v/>
      </c>
      <c r="X5" s="36">
        <f>IF(X3&gt;=Supuestos!$B$43,1,0)</f>
        <v/>
      </c>
      <c r="Y5" s="36">
        <f>IF(Y3&gt;=Supuestos!$B$43,1,0)</f>
        <v/>
      </c>
      <c r="Z5" s="36">
        <f>IF(Z3&gt;=Supuestos!$B$43,1,0)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7" t="inlineStr">
        <is>
          <t>MÉDICOS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</row>
    <row r="8">
      <c r="A8" s="5" t="inlineStr">
        <is>
          <t>Médicos nuevos</t>
        </is>
      </c>
      <c r="B8" s="2" t="n"/>
      <c r="C8" s="39">
        <f>Supuestos!$B$64</f>
        <v/>
      </c>
      <c r="D8" s="39">
        <f>Supuestos!$B$64</f>
        <v/>
      </c>
      <c r="E8" s="39">
        <f>Supuestos!$B$64</f>
        <v/>
      </c>
      <c r="F8" s="39">
        <f>Supuestos!$B$64</f>
        <v/>
      </c>
      <c r="G8" s="39">
        <f>Supuestos!$B$64</f>
        <v/>
      </c>
      <c r="H8" s="39">
        <f>Supuestos!$B$64</f>
        <v/>
      </c>
      <c r="I8" s="39">
        <f>Supuestos!$B$64</f>
        <v/>
      </c>
      <c r="J8" s="39">
        <f>Supuestos!$B$64</f>
        <v/>
      </c>
      <c r="K8" s="39">
        <f>Supuestos!$B$64</f>
        <v/>
      </c>
      <c r="L8" s="39">
        <f>Supuestos!$B$64</f>
        <v/>
      </c>
      <c r="M8" s="39">
        <f>Supuestos!$B$64</f>
        <v/>
      </c>
      <c r="N8" s="39">
        <f>Supuestos!$B$64</f>
        <v/>
      </c>
      <c r="O8" s="39">
        <f>Supuestos!$B$64</f>
        <v/>
      </c>
      <c r="P8" s="39">
        <f>Supuestos!$B$64</f>
        <v/>
      </c>
      <c r="Q8" s="39">
        <f>Supuestos!$B$64</f>
        <v/>
      </c>
      <c r="R8" s="39">
        <f>Supuestos!$B$64</f>
        <v/>
      </c>
      <c r="S8" s="39">
        <f>Supuestos!$B$64</f>
        <v/>
      </c>
      <c r="T8" s="39">
        <f>Supuestos!$B$64</f>
        <v/>
      </c>
      <c r="U8" s="39">
        <f>Supuestos!$B$64</f>
        <v/>
      </c>
      <c r="V8" s="39">
        <f>Supuestos!$B$64</f>
        <v/>
      </c>
      <c r="W8" s="39">
        <f>Supuestos!$B$64</f>
        <v/>
      </c>
      <c r="X8" s="39">
        <f>Supuestos!$B$64</f>
        <v/>
      </c>
      <c r="Y8" s="39">
        <f>Supuestos!$B$64</f>
        <v/>
      </c>
      <c r="Z8" s="39">
        <f>Supuestos!$B$64</f>
        <v/>
      </c>
    </row>
    <row r="9">
      <c r="A9" s="5" t="inlineStr">
        <is>
          <t>Fundadores nuevos</t>
        </is>
      </c>
      <c r="B9" s="2" t="n"/>
      <c r="C9" s="40">
        <f>MIN(C8,Supuestos!$B$9)</f>
        <v/>
      </c>
      <c r="D9" s="40">
        <f>MIN(D8,Supuestos!$B$9-C10)</f>
        <v/>
      </c>
      <c r="E9" s="40">
        <f>MIN(E8,Supuestos!$B$9-D10)</f>
        <v/>
      </c>
      <c r="F9" s="40">
        <f>MIN(F8,Supuestos!$B$9-E10)</f>
        <v/>
      </c>
      <c r="G9" s="40">
        <f>MIN(G8,Supuestos!$B$9-F10)</f>
        <v/>
      </c>
      <c r="H9" s="40">
        <f>MIN(H8,Supuestos!$B$9-G10)</f>
        <v/>
      </c>
      <c r="I9" s="40">
        <f>MIN(I8,Supuestos!$B$9-H10)</f>
        <v/>
      </c>
      <c r="J9" s="40">
        <f>MIN(J8,Supuestos!$B$9-I10)</f>
        <v/>
      </c>
      <c r="K9" s="40">
        <f>MIN(K8,Supuestos!$B$9-J10)</f>
        <v/>
      </c>
      <c r="L9" s="40">
        <f>MIN(L8,Supuestos!$B$9-K10)</f>
        <v/>
      </c>
      <c r="M9" s="40">
        <f>MIN(M8,Supuestos!$B$9-L10)</f>
        <v/>
      </c>
      <c r="N9" s="40">
        <f>MIN(N8,Supuestos!$B$9-M10)</f>
        <v/>
      </c>
      <c r="O9" s="40">
        <f>MIN(O8,Supuestos!$B$9-N10)</f>
        <v/>
      </c>
      <c r="P9" s="40">
        <f>MIN(P8,Supuestos!$B$9-O10)</f>
        <v/>
      </c>
      <c r="Q9" s="40">
        <f>MIN(Q8,Supuestos!$B$9-P10)</f>
        <v/>
      </c>
      <c r="R9" s="40">
        <f>MIN(R8,Supuestos!$B$9-Q10)</f>
        <v/>
      </c>
      <c r="S9" s="40">
        <f>MIN(S8,Supuestos!$B$9-R10)</f>
        <v/>
      </c>
      <c r="T9" s="40">
        <f>MIN(T8,Supuestos!$B$9-S10)</f>
        <v/>
      </c>
      <c r="U9" s="40">
        <f>MIN(U8,Supuestos!$B$9-T10)</f>
        <v/>
      </c>
      <c r="V9" s="40">
        <f>MIN(V8,Supuestos!$B$9-U10)</f>
        <v/>
      </c>
      <c r="W9" s="40">
        <f>MIN(W8,Supuestos!$B$9-V10)</f>
        <v/>
      </c>
      <c r="X9" s="40">
        <f>MIN(X8,Supuestos!$B$9-W10)</f>
        <v/>
      </c>
      <c r="Y9" s="40">
        <f>MIN(Y8,Supuestos!$B$9-X10)</f>
        <v/>
      </c>
      <c r="Z9" s="40">
        <f>MIN(Z8,Supuestos!$B$9-Y10)</f>
        <v/>
      </c>
    </row>
    <row r="10">
      <c r="A10" s="5" t="inlineStr">
        <is>
          <t>Fundadores inscritos (acumulado)</t>
        </is>
      </c>
      <c r="B10" s="2" t="n"/>
      <c r="C10" s="40">
        <f>C9</f>
        <v/>
      </c>
      <c r="D10" s="40">
        <f>C10+D9</f>
        <v/>
      </c>
      <c r="E10" s="40">
        <f>D10+E9</f>
        <v/>
      </c>
      <c r="F10" s="40">
        <f>E10+F9</f>
        <v/>
      </c>
      <c r="G10" s="40">
        <f>F10+G9</f>
        <v/>
      </c>
      <c r="H10" s="40">
        <f>G10+H9</f>
        <v/>
      </c>
      <c r="I10" s="40">
        <f>H10+I9</f>
        <v/>
      </c>
      <c r="J10" s="40">
        <f>I10+J9</f>
        <v/>
      </c>
      <c r="K10" s="40">
        <f>J10+K9</f>
        <v/>
      </c>
      <c r="L10" s="40">
        <f>K10+L9</f>
        <v/>
      </c>
      <c r="M10" s="40">
        <f>L10+M9</f>
        <v/>
      </c>
      <c r="N10" s="40">
        <f>M10+N9</f>
        <v/>
      </c>
      <c r="O10" s="40">
        <f>N10+O9</f>
        <v/>
      </c>
      <c r="P10" s="40">
        <f>O10+P9</f>
        <v/>
      </c>
      <c r="Q10" s="40">
        <f>P10+Q9</f>
        <v/>
      </c>
      <c r="R10" s="40">
        <f>Q10+R9</f>
        <v/>
      </c>
      <c r="S10" s="40">
        <f>R10+S9</f>
        <v/>
      </c>
      <c r="T10" s="40">
        <f>S10+T9</f>
        <v/>
      </c>
      <c r="U10" s="40">
        <f>T10+U9</f>
        <v/>
      </c>
      <c r="V10" s="40">
        <f>U10+V9</f>
        <v/>
      </c>
      <c r="W10" s="40">
        <f>V10+W9</f>
        <v/>
      </c>
      <c r="X10" s="40">
        <f>W10+X9</f>
        <v/>
      </c>
      <c r="Y10" s="40">
        <f>X10+Y9</f>
        <v/>
      </c>
      <c r="Z10" s="40">
        <f>Y10+Z9</f>
        <v/>
      </c>
    </row>
    <row r="11">
      <c r="A11" s="5" t="inlineStr">
        <is>
          <t>Nuevos no fundadores</t>
        </is>
      </c>
      <c r="B11" s="2" t="n"/>
      <c r="C11" s="40">
        <f>C8-C9</f>
        <v/>
      </c>
      <c r="D11" s="40">
        <f>D8-D9</f>
        <v/>
      </c>
      <c r="E11" s="40">
        <f>E8-E9</f>
        <v/>
      </c>
      <c r="F11" s="40">
        <f>F8-F9</f>
        <v/>
      </c>
      <c r="G11" s="40">
        <f>G8-G9</f>
        <v/>
      </c>
      <c r="H11" s="40">
        <f>H8-H9</f>
        <v/>
      </c>
      <c r="I11" s="40">
        <f>I8-I9</f>
        <v/>
      </c>
      <c r="J11" s="40">
        <f>J8-J9</f>
        <v/>
      </c>
      <c r="K11" s="40">
        <f>K8-K9</f>
        <v/>
      </c>
      <c r="L11" s="40">
        <f>L8-L9</f>
        <v/>
      </c>
      <c r="M11" s="40">
        <f>M8-M9</f>
        <v/>
      </c>
      <c r="N11" s="40">
        <f>N8-N9</f>
        <v/>
      </c>
      <c r="O11" s="40">
        <f>O8-O9</f>
        <v/>
      </c>
      <c r="P11" s="40">
        <f>P8-P9</f>
        <v/>
      </c>
      <c r="Q11" s="40">
        <f>Q8-Q9</f>
        <v/>
      </c>
      <c r="R11" s="40">
        <f>R8-R9</f>
        <v/>
      </c>
      <c r="S11" s="40">
        <f>S8-S9</f>
        <v/>
      </c>
      <c r="T11" s="40">
        <f>T8-T9</f>
        <v/>
      </c>
      <c r="U11" s="40">
        <f>U8-U9</f>
        <v/>
      </c>
      <c r="V11" s="40">
        <f>V8-V9</f>
        <v/>
      </c>
      <c r="W11" s="40">
        <f>W8-W9</f>
        <v/>
      </c>
      <c r="X11" s="40">
        <f>X8-X9</f>
        <v/>
      </c>
      <c r="Y11" s="40">
        <f>Y8-Y9</f>
        <v/>
      </c>
      <c r="Z11" s="40">
        <f>Z8-Z9</f>
        <v/>
      </c>
    </row>
    <row r="12">
      <c r="A12" s="5" t="inlineStr">
        <is>
          <t>Nuevos que eligen Clínico</t>
        </is>
      </c>
      <c r="B12" s="2" t="n"/>
      <c r="C12" s="40">
        <f>C11*C5*Supuestos!$B$66</f>
        <v/>
      </c>
      <c r="D12" s="40">
        <f>D11*D5*Supuestos!$B$66</f>
        <v/>
      </c>
      <c r="E12" s="40">
        <f>E11*E5*Supuestos!$B$66</f>
        <v/>
      </c>
      <c r="F12" s="40">
        <f>F11*F5*Supuestos!$B$66</f>
        <v/>
      </c>
      <c r="G12" s="40">
        <f>G11*G5*Supuestos!$B$66</f>
        <v/>
      </c>
      <c r="H12" s="40">
        <f>H11*H5*Supuestos!$B$66</f>
        <v/>
      </c>
      <c r="I12" s="40">
        <f>I11*I5*Supuestos!$B$66</f>
        <v/>
      </c>
      <c r="J12" s="40">
        <f>J11*J5*Supuestos!$B$66</f>
        <v/>
      </c>
      <c r="K12" s="40">
        <f>K11*K5*Supuestos!$B$66</f>
        <v/>
      </c>
      <c r="L12" s="40">
        <f>L11*L5*Supuestos!$B$66</f>
        <v/>
      </c>
      <c r="M12" s="40">
        <f>M11*M5*Supuestos!$B$66</f>
        <v/>
      </c>
      <c r="N12" s="40">
        <f>N11*N5*Supuestos!$B$66</f>
        <v/>
      </c>
      <c r="O12" s="40">
        <f>O11*O5*Supuestos!$B$66</f>
        <v/>
      </c>
      <c r="P12" s="40">
        <f>P11*P5*Supuestos!$B$66</f>
        <v/>
      </c>
      <c r="Q12" s="40">
        <f>Q11*Q5*Supuestos!$B$66</f>
        <v/>
      </c>
      <c r="R12" s="40">
        <f>R11*R5*Supuestos!$B$66</f>
        <v/>
      </c>
      <c r="S12" s="40">
        <f>S11*S5*Supuestos!$B$66</f>
        <v/>
      </c>
      <c r="T12" s="40">
        <f>T11*T5*Supuestos!$B$66</f>
        <v/>
      </c>
      <c r="U12" s="40">
        <f>U11*U5*Supuestos!$B$66</f>
        <v/>
      </c>
      <c r="V12" s="40">
        <f>V11*V5*Supuestos!$B$66</f>
        <v/>
      </c>
      <c r="W12" s="40">
        <f>W11*W5*Supuestos!$B$66</f>
        <v/>
      </c>
      <c r="X12" s="40">
        <f>X11*X5*Supuestos!$B$66</f>
        <v/>
      </c>
      <c r="Y12" s="40">
        <f>Y11*Y5*Supuestos!$B$66</f>
        <v/>
      </c>
      <c r="Z12" s="40">
        <f>Z11*Z5*Supuestos!$B$66</f>
        <v/>
      </c>
    </row>
    <row r="13">
      <c r="A13" s="5" t="inlineStr">
        <is>
          <t>Nuevos que eligen Red</t>
        </is>
      </c>
      <c r="B13" s="2" t="n"/>
      <c r="C13" s="40">
        <f>C11-C12</f>
        <v/>
      </c>
      <c r="D13" s="40">
        <f>D11-D12</f>
        <v/>
      </c>
      <c r="E13" s="40">
        <f>E11-E12</f>
        <v/>
      </c>
      <c r="F13" s="40">
        <f>F11-F12</f>
        <v/>
      </c>
      <c r="G13" s="40">
        <f>G11-G12</f>
        <v/>
      </c>
      <c r="H13" s="40">
        <f>H11-H12</f>
        <v/>
      </c>
      <c r="I13" s="40">
        <f>I11-I12</f>
        <v/>
      </c>
      <c r="J13" s="40">
        <f>J11-J12</f>
        <v/>
      </c>
      <c r="K13" s="40">
        <f>K11-K12</f>
        <v/>
      </c>
      <c r="L13" s="40">
        <f>L11-L12</f>
        <v/>
      </c>
      <c r="M13" s="40">
        <f>M11-M12</f>
        <v/>
      </c>
      <c r="N13" s="40">
        <f>N11-N12</f>
        <v/>
      </c>
      <c r="O13" s="40">
        <f>O11-O12</f>
        <v/>
      </c>
      <c r="P13" s="40">
        <f>P11-P12</f>
        <v/>
      </c>
      <c r="Q13" s="40">
        <f>Q11-Q12</f>
        <v/>
      </c>
      <c r="R13" s="40">
        <f>R11-R12</f>
        <v/>
      </c>
      <c r="S13" s="40">
        <f>S11-S12</f>
        <v/>
      </c>
      <c r="T13" s="40">
        <f>T11-T12</f>
        <v/>
      </c>
      <c r="U13" s="40">
        <f>U11-U12</f>
        <v/>
      </c>
      <c r="V13" s="40">
        <f>V11-V12</f>
        <v/>
      </c>
      <c r="W13" s="40">
        <f>W11-W12</f>
        <v/>
      </c>
      <c r="X13" s="40">
        <f>X11-X12</f>
        <v/>
      </c>
      <c r="Y13" s="40">
        <f>Y11-Y12</f>
        <v/>
      </c>
      <c r="Z13" s="40">
        <f>Z11-Z12</f>
        <v/>
      </c>
    </row>
    <row r="14">
      <c r="A14" s="5" t="inlineStr">
        <is>
          <t>Fundadores activos</t>
        </is>
      </c>
      <c r="B14" s="2" t="n"/>
      <c r="C14" s="40">
        <f>C9</f>
        <v/>
      </c>
      <c r="D14" s="40">
        <f>C14*(1-Supuestos!$B$65)+D9</f>
        <v/>
      </c>
      <c r="E14" s="40">
        <f>D14*(1-Supuestos!$B$65)+E9</f>
        <v/>
      </c>
      <c r="F14" s="40">
        <f>E14*(1-Supuestos!$B$65)+F9</f>
        <v/>
      </c>
      <c r="G14" s="40">
        <f>F14*(1-Supuestos!$B$65)+G9</f>
        <v/>
      </c>
      <c r="H14" s="40">
        <f>G14*(1-Supuestos!$B$65)+H9</f>
        <v/>
      </c>
      <c r="I14" s="40">
        <f>H14*(1-Supuestos!$B$65)+I9</f>
        <v/>
      </c>
      <c r="J14" s="40">
        <f>I14*(1-Supuestos!$B$65)+J9</f>
        <v/>
      </c>
      <c r="K14" s="40">
        <f>J14*(1-Supuestos!$B$65)+K9</f>
        <v/>
      </c>
      <c r="L14" s="40">
        <f>K14*(1-Supuestos!$B$65)+L9</f>
        <v/>
      </c>
      <c r="M14" s="40">
        <f>L14*(1-Supuestos!$B$65)+M9</f>
        <v/>
      </c>
      <c r="N14" s="40">
        <f>M14*(1-Supuestos!$B$65)+N9</f>
        <v/>
      </c>
      <c r="O14" s="40">
        <f>N14*(1-Supuestos!$B$65)+O9</f>
        <v/>
      </c>
      <c r="P14" s="40">
        <f>O14*(1-Supuestos!$B$65)+P9</f>
        <v/>
      </c>
      <c r="Q14" s="40">
        <f>P14*(1-Supuestos!$B$65)+Q9</f>
        <v/>
      </c>
      <c r="R14" s="40">
        <f>Q14*(1-Supuestos!$B$65)+R9</f>
        <v/>
      </c>
      <c r="S14" s="40">
        <f>R14*(1-Supuestos!$B$65)+S9</f>
        <v/>
      </c>
      <c r="T14" s="40">
        <f>S14*(1-Supuestos!$B$65)+T9</f>
        <v/>
      </c>
      <c r="U14" s="40">
        <f>T14*(1-Supuestos!$B$65)+U9</f>
        <v/>
      </c>
      <c r="V14" s="40">
        <f>U14*(1-Supuestos!$B$65)+V9</f>
        <v/>
      </c>
      <c r="W14" s="40">
        <f>V14*(1-Supuestos!$B$65)+W9</f>
        <v/>
      </c>
      <c r="X14" s="40">
        <f>W14*(1-Supuestos!$B$65)+X9</f>
        <v/>
      </c>
      <c r="Y14" s="40">
        <f>X14*(1-Supuestos!$B$65)+Y9</f>
        <v/>
      </c>
      <c r="Z14" s="40">
        <f>Y14*(1-Supuestos!$B$65)+Z9</f>
        <v/>
      </c>
    </row>
    <row r="15">
      <c r="A15" s="5" t="inlineStr">
        <is>
          <t>Suben de Red a Clínico</t>
        </is>
      </c>
      <c r="B15" s="2" t="n"/>
      <c r="C15" s="40">
        <f>0</f>
        <v/>
      </c>
      <c r="D15" s="40">
        <f>C16*(1-Supuestos!$B$65)*D5*Supuestos!$B$67</f>
        <v/>
      </c>
      <c r="E15" s="40">
        <f>D16*(1-Supuestos!$B$65)*E5*Supuestos!$B$67</f>
        <v/>
      </c>
      <c r="F15" s="40">
        <f>E16*(1-Supuestos!$B$65)*F5*Supuestos!$B$67</f>
        <v/>
      </c>
      <c r="G15" s="40">
        <f>F16*(1-Supuestos!$B$65)*G5*Supuestos!$B$67</f>
        <v/>
      </c>
      <c r="H15" s="40">
        <f>G16*(1-Supuestos!$B$65)*H5*Supuestos!$B$67</f>
        <v/>
      </c>
      <c r="I15" s="40">
        <f>H16*(1-Supuestos!$B$65)*I5*Supuestos!$B$67</f>
        <v/>
      </c>
      <c r="J15" s="40">
        <f>I16*(1-Supuestos!$B$65)*J5*Supuestos!$B$67</f>
        <v/>
      </c>
      <c r="K15" s="40">
        <f>J16*(1-Supuestos!$B$65)*K5*Supuestos!$B$67</f>
        <v/>
      </c>
      <c r="L15" s="40">
        <f>K16*(1-Supuestos!$B$65)*L5*Supuestos!$B$67</f>
        <v/>
      </c>
      <c r="M15" s="40">
        <f>L16*(1-Supuestos!$B$65)*M5*Supuestos!$B$67</f>
        <v/>
      </c>
      <c r="N15" s="40">
        <f>M16*(1-Supuestos!$B$65)*N5*Supuestos!$B$67</f>
        <v/>
      </c>
      <c r="O15" s="40">
        <f>N16*(1-Supuestos!$B$65)*O5*Supuestos!$B$67</f>
        <v/>
      </c>
      <c r="P15" s="40">
        <f>O16*(1-Supuestos!$B$65)*P5*Supuestos!$B$67</f>
        <v/>
      </c>
      <c r="Q15" s="40">
        <f>P16*(1-Supuestos!$B$65)*Q5*Supuestos!$B$67</f>
        <v/>
      </c>
      <c r="R15" s="40">
        <f>Q16*(1-Supuestos!$B$65)*R5*Supuestos!$B$67</f>
        <v/>
      </c>
      <c r="S15" s="40">
        <f>R16*(1-Supuestos!$B$65)*S5*Supuestos!$B$67</f>
        <v/>
      </c>
      <c r="T15" s="40">
        <f>S16*(1-Supuestos!$B$65)*T5*Supuestos!$B$67</f>
        <v/>
      </c>
      <c r="U15" s="40">
        <f>T16*(1-Supuestos!$B$65)*U5*Supuestos!$B$67</f>
        <v/>
      </c>
      <c r="V15" s="40">
        <f>U16*(1-Supuestos!$B$65)*V5*Supuestos!$B$67</f>
        <v/>
      </c>
      <c r="W15" s="40">
        <f>V16*(1-Supuestos!$B$65)*W5*Supuestos!$B$67</f>
        <v/>
      </c>
      <c r="X15" s="40">
        <f>W16*(1-Supuestos!$B$65)*X5*Supuestos!$B$67</f>
        <v/>
      </c>
      <c r="Y15" s="40">
        <f>X16*(1-Supuestos!$B$65)*Y5*Supuestos!$B$67</f>
        <v/>
      </c>
      <c r="Z15" s="40">
        <f>Y16*(1-Supuestos!$B$65)*Z5*Supuestos!$B$67</f>
        <v/>
      </c>
    </row>
    <row r="16">
      <c r="A16" s="5" t="inlineStr">
        <is>
          <t>Red activos</t>
        </is>
      </c>
      <c r="B16" s="2" t="n"/>
      <c r="C16" s="40">
        <f>C13</f>
        <v/>
      </c>
      <c r="D16" s="40">
        <f>C16*(1-Supuestos!$B$65)-D15+D13</f>
        <v/>
      </c>
      <c r="E16" s="40">
        <f>D16*(1-Supuestos!$B$65)-E15+E13</f>
        <v/>
      </c>
      <c r="F16" s="40">
        <f>E16*(1-Supuestos!$B$65)-F15+F13</f>
        <v/>
      </c>
      <c r="G16" s="40">
        <f>F16*(1-Supuestos!$B$65)-G15+G13</f>
        <v/>
      </c>
      <c r="H16" s="40">
        <f>G16*(1-Supuestos!$B$65)-H15+H13</f>
        <v/>
      </c>
      <c r="I16" s="40">
        <f>H16*(1-Supuestos!$B$65)-I15+I13</f>
        <v/>
      </c>
      <c r="J16" s="40">
        <f>I16*(1-Supuestos!$B$65)-J15+J13</f>
        <v/>
      </c>
      <c r="K16" s="40">
        <f>J16*(1-Supuestos!$B$65)-K15+K13</f>
        <v/>
      </c>
      <c r="L16" s="40">
        <f>K16*(1-Supuestos!$B$65)-L15+L13</f>
        <v/>
      </c>
      <c r="M16" s="40">
        <f>L16*(1-Supuestos!$B$65)-M15+M13</f>
        <v/>
      </c>
      <c r="N16" s="40">
        <f>M16*(1-Supuestos!$B$65)-N15+N13</f>
        <v/>
      </c>
      <c r="O16" s="40">
        <f>N16*(1-Supuestos!$B$65)-O15+O13</f>
        <v/>
      </c>
      <c r="P16" s="40">
        <f>O16*(1-Supuestos!$B$65)-P15+P13</f>
        <v/>
      </c>
      <c r="Q16" s="40">
        <f>P16*(1-Supuestos!$B$65)-Q15+Q13</f>
        <v/>
      </c>
      <c r="R16" s="40">
        <f>Q16*(1-Supuestos!$B$65)-R15+R13</f>
        <v/>
      </c>
      <c r="S16" s="40">
        <f>R16*(1-Supuestos!$B$65)-S15+S13</f>
        <v/>
      </c>
      <c r="T16" s="40">
        <f>S16*(1-Supuestos!$B$65)-T15+T13</f>
        <v/>
      </c>
      <c r="U16" s="40">
        <f>T16*(1-Supuestos!$B$65)-U15+U13</f>
        <v/>
      </c>
      <c r="V16" s="40">
        <f>U16*(1-Supuestos!$B$65)-V15+V13</f>
        <v/>
      </c>
      <c r="W16" s="40">
        <f>V16*(1-Supuestos!$B$65)-W15+W13</f>
        <v/>
      </c>
      <c r="X16" s="40">
        <f>W16*(1-Supuestos!$B$65)-X15+X13</f>
        <v/>
      </c>
      <c r="Y16" s="40">
        <f>X16*(1-Supuestos!$B$65)-Y15+Y13</f>
        <v/>
      </c>
      <c r="Z16" s="40">
        <f>Y16*(1-Supuestos!$B$65)-Z15+Z13</f>
        <v/>
      </c>
    </row>
    <row r="17">
      <c r="A17" s="5" t="inlineStr">
        <is>
          <t>Clínico activos (precio completo)</t>
        </is>
      </c>
      <c r="B17" s="2" t="n"/>
      <c r="C17" s="40">
        <f>C12</f>
        <v/>
      </c>
      <c r="D17" s="40">
        <f>C17*(1-Supuestos!$B$65)+D12+D15</f>
        <v/>
      </c>
      <c r="E17" s="40">
        <f>D17*(1-Supuestos!$B$65)+E12+E15</f>
        <v/>
      </c>
      <c r="F17" s="40">
        <f>E17*(1-Supuestos!$B$65)+F12+F15</f>
        <v/>
      </c>
      <c r="G17" s="40">
        <f>F17*(1-Supuestos!$B$65)+G12+G15</f>
        <v/>
      </c>
      <c r="H17" s="40">
        <f>G17*(1-Supuestos!$B$65)+H12+H15</f>
        <v/>
      </c>
      <c r="I17" s="40">
        <f>H17*(1-Supuestos!$B$65)+I12+I15</f>
        <v/>
      </c>
      <c r="J17" s="40">
        <f>I17*(1-Supuestos!$B$65)+J12+J15</f>
        <v/>
      </c>
      <c r="K17" s="40">
        <f>J17*(1-Supuestos!$B$65)+K12+K15</f>
        <v/>
      </c>
      <c r="L17" s="40">
        <f>K17*(1-Supuestos!$B$65)+L12+L15</f>
        <v/>
      </c>
      <c r="M17" s="40">
        <f>L17*(1-Supuestos!$B$65)+M12+M15</f>
        <v/>
      </c>
      <c r="N17" s="40">
        <f>M17*(1-Supuestos!$B$65)+N12+N15</f>
        <v/>
      </c>
      <c r="O17" s="40">
        <f>N17*(1-Supuestos!$B$65)+O12+O15</f>
        <v/>
      </c>
      <c r="P17" s="40">
        <f>O17*(1-Supuestos!$B$65)+P12+P15</f>
        <v/>
      </c>
      <c r="Q17" s="40">
        <f>P17*(1-Supuestos!$B$65)+Q12+Q15</f>
        <v/>
      </c>
      <c r="R17" s="40">
        <f>Q17*(1-Supuestos!$B$65)+R12+R15</f>
        <v/>
      </c>
      <c r="S17" s="40">
        <f>R17*(1-Supuestos!$B$65)+S12+S15</f>
        <v/>
      </c>
      <c r="T17" s="40">
        <f>S17*(1-Supuestos!$B$65)+T12+T15</f>
        <v/>
      </c>
      <c r="U17" s="40">
        <f>T17*(1-Supuestos!$B$65)+U12+U15</f>
        <v/>
      </c>
      <c r="V17" s="40">
        <f>U17*(1-Supuestos!$B$65)+V12+V15</f>
        <v/>
      </c>
      <c r="W17" s="40">
        <f>V17*(1-Supuestos!$B$65)+W12+W15</f>
        <v/>
      </c>
      <c r="X17" s="40">
        <f>W17*(1-Supuestos!$B$65)+X12+X15</f>
        <v/>
      </c>
      <c r="Y17" s="40">
        <f>X17*(1-Supuestos!$B$65)+Y12+Y15</f>
        <v/>
      </c>
      <c r="Z17" s="40">
        <f>Y17*(1-Supuestos!$B$65)+Z12+Z15</f>
        <v/>
      </c>
    </row>
    <row r="18">
      <c r="A18" s="5" t="inlineStr">
        <is>
          <t>Médicos Regene nuevos</t>
        </is>
      </c>
      <c r="B18" s="2" t="n"/>
      <c r="C18" s="40">
        <f>IF(C3&gt;=Supuestos!$B$57,Supuestos!$B$56*Supuestos!$B$69/MAX(1,25-Supuestos!$B$57),0)</f>
        <v/>
      </c>
      <c r="D18" s="40">
        <f>IF(D3&gt;=Supuestos!$B$57,Supuestos!$B$56*Supuestos!$B$69/MAX(1,25-Supuestos!$B$57),0)</f>
        <v/>
      </c>
      <c r="E18" s="40">
        <f>IF(E3&gt;=Supuestos!$B$57,Supuestos!$B$56*Supuestos!$B$69/MAX(1,25-Supuestos!$B$57),0)</f>
        <v/>
      </c>
      <c r="F18" s="40">
        <f>IF(F3&gt;=Supuestos!$B$57,Supuestos!$B$56*Supuestos!$B$69/MAX(1,25-Supuestos!$B$57),0)</f>
        <v/>
      </c>
      <c r="G18" s="40">
        <f>IF(G3&gt;=Supuestos!$B$57,Supuestos!$B$56*Supuestos!$B$69/MAX(1,25-Supuestos!$B$57),0)</f>
        <v/>
      </c>
      <c r="H18" s="40">
        <f>IF(H3&gt;=Supuestos!$B$57,Supuestos!$B$56*Supuestos!$B$69/MAX(1,25-Supuestos!$B$57),0)</f>
        <v/>
      </c>
      <c r="I18" s="40">
        <f>IF(I3&gt;=Supuestos!$B$57,Supuestos!$B$56*Supuestos!$B$69/MAX(1,25-Supuestos!$B$57),0)</f>
        <v/>
      </c>
      <c r="J18" s="40">
        <f>IF(J3&gt;=Supuestos!$B$57,Supuestos!$B$56*Supuestos!$B$69/MAX(1,25-Supuestos!$B$57),0)</f>
        <v/>
      </c>
      <c r="K18" s="40">
        <f>IF(K3&gt;=Supuestos!$B$57,Supuestos!$B$56*Supuestos!$B$69/MAX(1,25-Supuestos!$B$57),0)</f>
        <v/>
      </c>
      <c r="L18" s="40">
        <f>IF(L3&gt;=Supuestos!$B$57,Supuestos!$B$56*Supuestos!$B$69/MAX(1,25-Supuestos!$B$57),0)</f>
        <v/>
      </c>
      <c r="M18" s="40">
        <f>IF(M3&gt;=Supuestos!$B$57,Supuestos!$B$56*Supuestos!$B$69/MAX(1,25-Supuestos!$B$57),0)</f>
        <v/>
      </c>
      <c r="N18" s="40">
        <f>IF(N3&gt;=Supuestos!$B$57,Supuestos!$B$56*Supuestos!$B$69/MAX(1,25-Supuestos!$B$57),0)</f>
        <v/>
      </c>
      <c r="O18" s="40">
        <f>IF(O3&gt;=Supuestos!$B$57,Supuestos!$B$56*Supuestos!$B$69/MAX(1,25-Supuestos!$B$57),0)</f>
        <v/>
      </c>
      <c r="P18" s="40">
        <f>IF(P3&gt;=Supuestos!$B$57,Supuestos!$B$56*Supuestos!$B$69/MAX(1,25-Supuestos!$B$57),0)</f>
        <v/>
      </c>
      <c r="Q18" s="40">
        <f>IF(Q3&gt;=Supuestos!$B$57,Supuestos!$B$56*Supuestos!$B$69/MAX(1,25-Supuestos!$B$57),0)</f>
        <v/>
      </c>
      <c r="R18" s="40">
        <f>IF(R3&gt;=Supuestos!$B$57,Supuestos!$B$56*Supuestos!$B$69/MAX(1,25-Supuestos!$B$57),0)</f>
        <v/>
      </c>
      <c r="S18" s="40">
        <f>IF(S3&gt;=Supuestos!$B$57,Supuestos!$B$56*Supuestos!$B$69/MAX(1,25-Supuestos!$B$57),0)</f>
        <v/>
      </c>
      <c r="T18" s="40">
        <f>IF(T3&gt;=Supuestos!$B$57,Supuestos!$B$56*Supuestos!$B$69/MAX(1,25-Supuestos!$B$57),0)</f>
        <v/>
      </c>
      <c r="U18" s="40">
        <f>IF(U3&gt;=Supuestos!$B$57,Supuestos!$B$56*Supuestos!$B$69/MAX(1,25-Supuestos!$B$57),0)</f>
        <v/>
      </c>
      <c r="V18" s="40">
        <f>IF(V3&gt;=Supuestos!$B$57,Supuestos!$B$56*Supuestos!$B$69/MAX(1,25-Supuestos!$B$57),0)</f>
        <v/>
      </c>
      <c r="W18" s="40">
        <f>IF(W3&gt;=Supuestos!$B$57,Supuestos!$B$56*Supuestos!$B$69/MAX(1,25-Supuestos!$B$57),0)</f>
        <v/>
      </c>
      <c r="X18" s="40">
        <f>IF(X3&gt;=Supuestos!$B$57,Supuestos!$B$56*Supuestos!$B$69/MAX(1,25-Supuestos!$B$57),0)</f>
        <v/>
      </c>
      <c r="Y18" s="40">
        <f>IF(Y3&gt;=Supuestos!$B$57,Supuestos!$B$56*Supuestos!$B$69/MAX(1,25-Supuestos!$B$57),0)</f>
        <v/>
      </c>
      <c r="Z18" s="40">
        <f>IF(Z3&gt;=Supuestos!$B$57,Supuestos!$B$56*Supuestos!$B$69/MAX(1,25-Supuestos!$B$57),0)</f>
        <v/>
      </c>
    </row>
    <row r="19">
      <c r="A19" s="5" t="inlineStr">
        <is>
          <t>Médicos Regene activos (Clínico con descuento)</t>
        </is>
      </c>
      <c r="B19" s="2" t="n"/>
      <c r="C19" s="40">
        <f>C18</f>
        <v/>
      </c>
      <c r="D19" s="40">
        <f>C19*(1-Supuestos!$B$65)+D18</f>
        <v/>
      </c>
      <c r="E19" s="40">
        <f>D19*(1-Supuestos!$B$65)+E18</f>
        <v/>
      </c>
      <c r="F19" s="40">
        <f>E19*(1-Supuestos!$B$65)+F18</f>
        <v/>
      </c>
      <c r="G19" s="40">
        <f>F19*(1-Supuestos!$B$65)+G18</f>
        <v/>
      </c>
      <c r="H19" s="40">
        <f>G19*(1-Supuestos!$B$65)+H18</f>
        <v/>
      </c>
      <c r="I19" s="40">
        <f>H19*(1-Supuestos!$B$65)+I18</f>
        <v/>
      </c>
      <c r="J19" s="40">
        <f>I19*(1-Supuestos!$B$65)+J18</f>
        <v/>
      </c>
      <c r="K19" s="40">
        <f>J19*(1-Supuestos!$B$65)+K18</f>
        <v/>
      </c>
      <c r="L19" s="40">
        <f>K19*(1-Supuestos!$B$65)+L18</f>
        <v/>
      </c>
      <c r="M19" s="40">
        <f>L19*(1-Supuestos!$B$65)+M18</f>
        <v/>
      </c>
      <c r="N19" s="40">
        <f>M19*(1-Supuestos!$B$65)+N18</f>
        <v/>
      </c>
      <c r="O19" s="40">
        <f>N19*(1-Supuestos!$B$65)+O18</f>
        <v/>
      </c>
      <c r="P19" s="40">
        <f>O19*(1-Supuestos!$B$65)+P18</f>
        <v/>
      </c>
      <c r="Q19" s="40">
        <f>P19*(1-Supuestos!$B$65)+Q18</f>
        <v/>
      </c>
      <c r="R19" s="40">
        <f>Q19*(1-Supuestos!$B$65)+R18</f>
        <v/>
      </c>
      <c r="S19" s="40">
        <f>R19*(1-Supuestos!$B$65)+S18</f>
        <v/>
      </c>
      <c r="T19" s="40">
        <f>S19*(1-Supuestos!$B$65)+T18</f>
        <v/>
      </c>
      <c r="U19" s="40">
        <f>T19*(1-Supuestos!$B$65)+U18</f>
        <v/>
      </c>
      <c r="V19" s="40">
        <f>U19*(1-Supuestos!$B$65)+V18</f>
        <v/>
      </c>
      <c r="W19" s="40">
        <f>V19*(1-Supuestos!$B$65)+W18</f>
        <v/>
      </c>
      <c r="X19" s="40">
        <f>W19*(1-Supuestos!$B$65)+X18</f>
        <v/>
      </c>
      <c r="Y19" s="40">
        <f>X19*(1-Supuestos!$B$65)+Y18</f>
        <v/>
      </c>
      <c r="Z19" s="40">
        <f>Y19*(1-Supuestos!$B$65)+Z18</f>
        <v/>
      </c>
    </row>
    <row r="20">
      <c r="A20" s="5" t="inlineStr">
        <is>
          <t>Total médicos activos</t>
        </is>
      </c>
      <c r="B20" s="2" t="n"/>
      <c r="C20" s="40">
        <f>C14+C16+C17+C19</f>
        <v/>
      </c>
      <c r="D20" s="40">
        <f>D14+D16+D17+D19</f>
        <v/>
      </c>
      <c r="E20" s="40">
        <f>E14+E16+E17+E19</f>
        <v/>
      </c>
      <c r="F20" s="40">
        <f>F14+F16+F17+F19</f>
        <v/>
      </c>
      <c r="G20" s="40">
        <f>G14+G16+G17+G19</f>
        <v/>
      </c>
      <c r="H20" s="40">
        <f>H14+H16+H17+H19</f>
        <v/>
      </c>
      <c r="I20" s="40">
        <f>I14+I16+I17+I19</f>
        <v/>
      </c>
      <c r="J20" s="40">
        <f>J14+J16+J17+J19</f>
        <v/>
      </c>
      <c r="K20" s="40">
        <f>K14+K16+K17+K19</f>
        <v/>
      </c>
      <c r="L20" s="40">
        <f>L14+L16+L17+L19</f>
        <v/>
      </c>
      <c r="M20" s="40">
        <f>M14+M16+M17+M19</f>
        <v/>
      </c>
      <c r="N20" s="40">
        <f>N14+N16+N17+N19</f>
        <v/>
      </c>
      <c r="O20" s="40">
        <f>O14+O16+O17+O19</f>
        <v/>
      </c>
      <c r="P20" s="40">
        <f>P14+P16+P17+P19</f>
        <v/>
      </c>
      <c r="Q20" s="40">
        <f>Q14+Q16+Q17+Q19</f>
        <v/>
      </c>
      <c r="R20" s="40">
        <f>R14+R16+R17+R19</f>
        <v/>
      </c>
      <c r="S20" s="40">
        <f>S14+S16+S17+S19</f>
        <v/>
      </c>
      <c r="T20" s="40">
        <f>T14+T16+T17+T19</f>
        <v/>
      </c>
      <c r="U20" s="40">
        <f>U14+U16+U17+U19</f>
        <v/>
      </c>
      <c r="V20" s="40">
        <f>V14+V16+V17+V19</f>
        <v/>
      </c>
      <c r="W20" s="40">
        <f>W14+W16+W17+W19</f>
        <v/>
      </c>
      <c r="X20" s="40">
        <f>X14+X16+X17+X19</f>
        <v/>
      </c>
      <c r="Y20" s="40">
        <f>Y14+Y16+Y17+Y19</f>
        <v/>
      </c>
      <c r="Z20" s="40">
        <f>Z14+Z16+Z17+Z19</f>
        <v/>
      </c>
    </row>
    <row r="21">
      <c r="A21" s="5" t="inlineStr">
        <is>
          <t>Médicos usando el portal clínico</t>
        </is>
      </c>
      <c r="B21" s="2" t="n"/>
      <c r="C21" s="40">
        <f>C17+C19+C14*C5</f>
        <v/>
      </c>
      <c r="D21" s="40">
        <f>D17+D19+D14*D5</f>
        <v/>
      </c>
      <c r="E21" s="40">
        <f>E17+E19+E14*E5</f>
        <v/>
      </c>
      <c r="F21" s="40">
        <f>F17+F19+F14*F5</f>
        <v/>
      </c>
      <c r="G21" s="40">
        <f>G17+G19+G14*G5</f>
        <v/>
      </c>
      <c r="H21" s="40">
        <f>H17+H19+H14*H5</f>
        <v/>
      </c>
      <c r="I21" s="40">
        <f>I17+I19+I14*I5</f>
        <v/>
      </c>
      <c r="J21" s="40">
        <f>J17+J19+J14*J5</f>
        <v/>
      </c>
      <c r="K21" s="40">
        <f>K17+K19+K14*K5</f>
        <v/>
      </c>
      <c r="L21" s="40">
        <f>L17+L19+L14*L5</f>
        <v/>
      </c>
      <c r="M21" s="40">
        <f>M17+M19+M14*M5</f>
        <v/>
      </c>
      <c r="N21" s="40">
        <f>N17+N19+N14*N5</f>
        <v/>
      </c>
      <c r="O21" s="40">
        <f>O17+O19+O14*O5</f>
        <v/>
      </c>
      <c r="P21" s="40">
        <f>P17+P19+P14*P5</f>
        <v/>
      </c>
      <c r="Q21" s="40">
        <f>Q17+Q19+Q14*Q5</f>
        <v/>
      </c>
      <c r="R21" s="40">
        <f>R17+R19+R14*R5</f>
        <v/>
      </c>
      <c r="S21" s="40">
        <f>S17+S19+S14*S5</f>
        <v/>
      </c>
      <c r="T21" s="40">
        <f>T17+T19+T14*T5</f>
        <v/>
      </c>
      <c r="U21" s="40">
        <f>U17+U19+U14*U5</f>
        <v/>
      </c>
      <c r="V21" s="40">
        <f>V17+V19+V14*V5</f>
        <v/>
      </c>
      <c r="W21" s="40">
        <f>W17+W19+W14*W5</f>
        <v/>
      </c>
      <c r="X21" s="40">
        <f>X17+X19+X14*X5</f>
        <v/>
      </c>
      <c r="Y21" s="40">
        <f>Y17+Y19+Y14*Y5</f>
        <v/>
      </c>
      <c r="Z21" s="40">
        <f>Z17+Z19+Z14*Z5</f>
        <v/>
      </c>
    </row>
    <row r="22">
      <c r="A22" s="5" t="inlineStr">
        <is>
          <t>Médicos usando solo Red</t>
        </is>
      </c>
      <c r="B22" s="2" t="n"/>
      <c r="C22" s="40">
        <f>C20-C21</f>
        <v/>
      </c>
      <c r="D22" s="40">
        <f>D20-D21</f>
        <v/>
      </c>
      <c r="E22" s="40">
        <f>E20-E21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  <c r="N22" s="40">
        <f>N20-N21</f>
        <v/>
      </c>
      <c r="O22" s="40">
        <f>O20-O21</f>
        <v/>
      </c>
      <c r="P22" s="40">
        <f>P20-P21</f>
        <v/>
      </c>
      <c r="Q22" s="40">
        <f>Q20-Q21</f>
        <v/>
      </c>
      <c r="R22" s="40">
        <f>R20-R21</f>
        <v/>
      </c>
      <c r="S22" s="40">
        <f>S20-S21</f>
        <v/>
      </c>
      <c r="T22" s="40">
        <f>T20-T21</f>
        <v/>
      </c>
      <c r="U22" s="40">
        <f>U20-U21</f>
        <v/>
      </c>
      <c r="V22" s="40">
        <f>V20-V21</f>
        <v/>
      </c>
      <c r="W22" s="40">
        <f>W20-W21</f>
        <v/>
      </c>
      <c r="X22" s="40">
        <f>X20-X21</f>
        <v/>
      </c>
      <c r="Y22" s="40">
        <f>Y20-Y21</f>
        <v/>
      </c>
      <c r="Z22" s="40">
        <f>Z20-Z21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7" t="inlineStr">
        <is>
          <t>INGRESOS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>
      <c r="A25" s="5" t="inlineStr">
        <is>
          <t>Fundadores</t>
        </is>
      </c>
      <c r="B25" s="2" t="n"/>
      <c r="C25" s="12">
        <f>C14*IF(C5=1,Supuestos!$B$8,Supuestos!$B$7)/(1+Supuestos!$B$10)</f>
        <v/>
      </c>
      <c r="D25" s="12">
        <f>D14*IF(D5=1,Supuestos!$B$8,Supuestos!$B$7)/(1+Supuestos!$B$10)</f>
        <v/>
      </c>
      <c r="E25" s="12">
        <f>E14*IF(E5=1,Supuestos!$B$8,Supuestos!$B$7)/(1+Supuestos!$B$10)</f>
        <v/>
      </c>
      <c r="F25" s="12">
        <f>F14*IF(F5=1,Supuestos!$B$8,Supuestos!$B$7)/(1+Supuestos!$B$10)</f>
        <v/>
      </c>
      <c r="G25" s="12">
        <f>G14*IF(G5=1,Supuestos!$B$8,Supuestos!$B$7)/(1+Supuestos!$B$10)</f>
        <v/>
      </c>
      <c r="H25" s="12">
        <f>H14*IF(H5=1,Supuestos!$B$8,Supuestos!$B$7)/(1+Supuestos!$B$10)</f>
        <v/>
      </c>
      <c r="I25" s="12">
        <f>I14*IF(I5=1,Supuestos!$B$8,Supuestos!$B$7)/(1+Supuestos!$B$10)</f>
        <v/>
      </c>
      <c r="J25" s="12">
        <f>J14*IF(J5=1,Supuestos!$B$8,Supuestos!$B$7)/(1+Supuestos!$B$10)</f>
        <v/>
      </c>
      <c r="K25" s="12">
        <f>K14*IF(K5=1,Supuestos!$B$8,Supuestos!$B$7)/(1+Supuestos!$B$10)</f>
        <v/>
      </c>
      <c r="L25" s="12">
        <f>L14*IF(L5=1,Supuestos!$B$8,Supuestos!$B$7)/(1+Supuestos!$B$10)</f>
        <v/>
      </c>
      <c r="M25" s="12">
        <f>M14*IF(M5=1,Supuestos!$B$8,Supuestos!$B$7)/(1+Supuestos!$B$10)</f>
        <v/>
      </c>
      <c r="N25" s="12">
        <f>N14*IF(N5=1,Supuestos!$B$8,Supuestos!$B$7)/(1+Supuestos!$B$10)</f>
        <v/>
      </c>
      <c r="O25" s="12">
        <f>O14*IF(O5=1,Supuestos!$B$8,Supuestos!$B$7)/(1+Supuestos!$B$10)</f>
        <v/>
      </c>
      <c r="P25" s="12">
        <f>P14*IF(P5=1,Supuestos!$B$8,Supuestos!$B$7)/(1+Supuestos!$B$10)</f>
        <v/>
      </c>
      <c r="Q25" s="12">
        <f>Q14*IF(Q5=1,Supuestos!$B$8,Supuestos!$B$7)/(1+Supuestos!$B$10)</f>
        <v/>
      </c>
      <c r="R25" s="12">
        <f>R14*IF(R5=1,Supuestos!$B$8,Supuestos!$B$7)/(1+Supuestos!$B$10)</f>
        <v/>
      </c>
      <c r="S25" s="12">
        <f>S14*IF(S5=1,Supuestos!$B$8,Supuestos!$B$7)/(1+Supuestos!$B$10)</f>
        <v/>
      </c>
      <c r="T25" s="12">
        <f>T14*IF(T5=1,Supuestos!$B$8,Supuestos!$B$7)/(1+Supuestos!$B$10)</f>
        <v/>
      </c>
      <c r="U25" s="12">
        <f>U14*IF(U5=1,Supuestos!$B$8,Supuestos!$B$7)/(1+Supuestos!$B$10)</f>
        <v/>
      </c>
      <c r="V25" s="12">
        <f>V14*IF(V5=1,Supuestos!$B$8,Supuestos!$B$7)/(1+Supuestos!$B$10)</f>
        <v/>
      </c>
      <c r="W25" s="12">
        <f>W14*IF(W5=1,Supuestos!$B$8,Supuestos!$B$7)/(1+Supuestos!$B$10)</f>
        <v/>
      </c>
      <c r="X25" s="12">
        <f>X14*IF(X5=1,Supuestos!$B$8,Supuestos!$B$7)/(1+Supuestos!$B$10)</f>
        <v/>
      </c>
      <c r="Y25" s="12">
        <f>Y14*IF(Y5=1,Supuestos!$B$8,Supuestos!$B$7)/(1+Supuestos!$B$10)</f>
        <v/>
      </c>
      <c r="Z25" s="12">
        <f>Z14*IF(Z5=1,Supuestos!$B$8,Supuestos!$B$7)/(1+Supuestos!$B$10)</f>
        <v/>
      </c>
    </row>
    <row r="26">
      <c r="A26" s="5" t="inlineStr">
        <is>
          <t>Plan Red</t>
        </is>
      </c>
      <c r="B26" s="2" t="n"/>
      <c r="C26" s="12">
        <f>C16*Supuestos!$B$5/(1+Supuestos!$B$10)</f>
        <v/>
      </c>
      <c r="D26" s="12">
        <f>D16*Supuestos!$B$5/(1+Supuestos!$B$10)</f>
        <v/>
      </c>
      <c r="E26" s="12">
        <f>E16*Supuestos!$B$5/(1+Supuestos!$B$10)</f>
        <v/>
      </c>
      <c r="F26" s="12">
        <f>F16*Supuestos!$B$5/(1+Supuestos!$B$10)</f>
        <v/>
      </c>
      <c r="G26" s="12">
        <f>G16*Supuestos!$B$5/(1+Supuestos!$B$10)</f>
        <v/>
      </c>
      <c r="H26" s="12">
        <f>H16*Supuestos!$B$5/(1+Supuestos!$B$10)</f>
        <v/>
      </c>
      <c r="I26" s="12">
        <f>I16*Supuestos!$B$5/(1+Supuestos!$B$10)</f>
        <v/>
      </c>
      <c r="J26" s="12">
        <f>J16*Supuestos!$B$5/(1+Supuestos!$B$10)</f>
        <v/>
      </c>
      <c r="K26" s="12">
        <f>K16*Supuestos!$B$5/(1+Supuestos!$B$10)</f>
        <v/>
      </c>
      <c r="L26" s="12">
        <f>L16*Supuestos!$B$5/(1+Supuestos!$B$10)</f>
        <v/>
      </c>
      <c r="M26" s="12">
        <f>M16*Supuestos!$B$5/(1+Supuestos!$B$10)</f>
        <v/>
      </c>
      <c r="N26" s="12">
        <f>N16*Supuestos!$B$5/(1+Supuestos!$B$10)</f>
        <v/>
      </c>
      <c r="O26" s="12">
        <f>O16*Supuestos!$B$5/(1+Supuestos!$B$10)</f>
        <v/>
      </c>
      <c r="P26" s="12">
        <f>P16*Supuestos!$B$5/(1+Supuestos!$B$10)</f>
        <v/>
      </c>
      <c r="Q26" s="12">
        <f>Q16*Supuestos!$B$5/(1+Supuestos!$B$10)</f>
        <v/>
      </c>
      <c r="R26" s="12">
        <f>R16*Supuestos!$B$5/(1+Supuestos!$B$10)</f>
        <v/>
      </c>
      <c r="S26" s="12">
        <f>S16*Supuestos!$B$5/(1+Supuestos!$B$10)</f>
        <v/>
      </c>
      <c r="T26" s="12">
        <f>T16*Supuestos!$B$5/(1+Supuestos!$B$10)</f>
        <v/>
      </c>
      <c r="U26" s="12">
        <f>U16*Supuestos!$B$5/(1+Supuestos!$B$10)</f>
        <v/>
      </c>
      <c r="V26" s="12">
        <f>V16*Supuestos!$B$5/(1+Supuestos!$B$10)</f>
        <v/>
      </c>
      <c r="W26" s="12">
        <f>W16*Supuestos!$B$5/(1+Supuestos!$B$10)</f>
        <v/>
      </c>
      <c r="X26" s="12">
        <f>X16*Supuestos!$B$5/(1+Supuestos!$B$10)</f>
        <v/>
      </c>
      <c r="Y26" s="12">
        <f>Y16*Supuestos!$B$5/(1+Supuestos!$B$10)</f>
        <v/>
      </c>
      <c r="Z26" s="12">
        <f>Z16*Supuestos!$B$5/(1+Supuestos!$B$10)</f>
        <v/>
      </c>
    </row>
    <row r="27">
      <c r="A27" s="5" t="inlineStr">
        <is>
          <t>Plan Clínico</t>
        </is>
      </c>
      <c r="B27" s="2" t="n"/>
      <c r="C27" s="12">
        <f>C17*Supuestos!$B$6/(1+Supuestos!$B$10)</f>
        <v/>
      </c>
      <c r="D27" s="12">
        <f>D17*Supuestos!$B$6/(1+Supuestos!$B$10)</f>
        <v/>
      </c>
      <c r="E27" s="12">
        <f>E17*Supuestos!$B$6/(1+Supuestos!$B$10)</f>
        <v/>
      </c>
      <c r="F27" s="12">
        <f>F17*Supuestos!$B$6/(1+Supuestos!$B$10)</f>
        <v/>
      </c>
      <c r="G27" s="12">
        <f>G17*Supuestos!$B$6/(1+Supuestos!$B$10)</f>
        <v/>
      </c>
      <c r="H27" s="12">
        <f>H17*Supuestos!$B$6/(1+Supuestos!$B$10)</f>
        <v/>
      </c>
      <c r="I27" s="12">
        <f>I17*Supuestos!$B$6/(1+Supuestos!$B$10)</f>
        <v/>
      </c>
      <c r="J27" s="12">
        <f>J17*Supuestos!$B$6/(1+Supuestos!$B$10)</f>
        <v/>
      </c>
      <c r="K27" s="12">
        <f>K17*Supuestos!$B$6/(1+Supuestos!$B$10)</f>
        <v/>
      </c>
      <c r="L27" s="12">
        <f>L17*Supuestos!$B$6/(1+Supuestos!$B$10)</f>
        <v/>
      </c>
      <c r="M27" s="12">
        <f>M17*Supuestos!$B$6/(1+Supuestos!$B$10)</f>
        <v/>
      </c>
      <c r="N27" s="12">
        <f>N17*Supuestos!$B$6/(1+Supuestos!$B$10)</f>
        <v/>
      </c>
      <c r="O27" s="12">
        <f>O17*Supuestos!$B$6/(1+Supuestos!$B$10)</f>
        <v/>
      </c>
      <c r="P27" s="12">
        <f>P17*Supuestos!$B$6/(1+Supuestos!$B$10)</f>
        <v/>
      </c>
      <c r="Q27" s="12">
        <f>Q17*Supuestos!$B$6/(1+Supuestos!$B$10)</f>
        <v/>
      </c>
      <c r="R27" s="12">
        <f>R17*Supuestos!$B$6/(1+Supuestos!$B$10)</f>
        <v/>
      </c>
      <c r="S27" s="12">
        <f>S17*Supuestos!$B$6/(1+Supuestos!$B$10)</f>
        <v/>
      </c>
      <c r="T27" s="12">
        <f>T17*Supuestos!$B$6/(1+Supuestos!$B$10)</f>
        <v/>
      </c>
      <c r="U27" s="12">
        <f>U17*Supuestos!$B$6/(1+Supuestos!$B$10)</f>
        <v/>
      </c>
      <c r="V27" s="12">
        <f>V17*Supuestos!$B$6/(1+Supuestos!$B$10)</f>
        <v/>
      </c>
      <c r="W27" s="12">
        <f>W17*Supuestos!$B$6/(1+Supuestos!$B$10)</f>
        <v/>
      </c>
      <c r="X27" s="12">
        <f>X17*Supuestos!$B$6/(1+Supuestos!$B$10)</f>
        <v/>
      </c>
      <c r="Y27" s="12">
        <f>Y17*Supuestos!$B$6/(1+Supuestos!$B$10)</f>
        <v/>
      </c>
      <c r="Z27" s="12">
        <f>Z17*Supuestos!$B$6/(1+Supuestos!$B$10)</f>
        <v/>
      </c>
    </row>
    <row r="28">
      <c r="A28" s="5" t="inlineStr">
        <is>
          <t>Canal Regene</t>
        </is>
      </c>
      <c r="B28" s="2" t="n"/>
      <c r="C28" s="12">
        <f>C19*Supuestos!$B$6*(1-Supuestos!$B$58)/(1+Supuestos!$B$10)</f>
        <v/>
      </c>
      <c r="D28" s="12">
        <f>D19*Supuestos!$B$6*(1-Supuestos!$B$58)/(1+Supuestos!$B$10)</f>
        <v/>
      </c>
      <c r="E28" s="12">
        <f>E19*Supuestos!$B$6*(1-Supuestos!$B$58)/(1+Supuestos!$B$10)</f>
        <v/>
      </c>
      <c r="F28" s="12">
        <f>F19*Supuestos!$B$6*(1-Supuestos!$B$58)/(1+Supuestos!$B$10)</f>
        <v/>
      </c>
      <c r="G28" s="12">
        <f>G19*Supuestos!$B$6*(1-Supuestos!$B$58)/(1+Supuestos!$B$10)</f>
        <v/>
      </c>
      <c r="H28" s="12">
        <f>H19*Supuestos!$B$6*(1-Supuestos!$B$58)/(1+Supuestos!$B$10)</f>
        <v/>
      </c>
      <c r="I28" s="12">
        <f>I19*Supuestos!$B$6*(1-Supuestos!$B$58)/(1+Supuestos!$B$10)</f>
        <v/>
      </c>
      <c r="J28" s="12">
        <f>J19*Supuestos!$B$6*(1-Supuestos!$B$58)/(1+Supuestos!$B$10)</f>
        <v/>
      </c>
      <c r="K28" s="12">
        <f>K19*Supuestos!$B$6*(1-Supuestos!$B$58)/(1+Supuestos!$B$10)</f>
        <v/>
      </c>
      <c r="L28" s="12">
        <f>L19*Supuestos!$B$6*(1-Supuestos!$B$58)/(1+Supuestos!$B$10)</f>
        <v/>
      </c>
      <c r="M28" s="12">
        <f>M19*Supuestos!$B$6*(1-Supuestos!$B$58)/(1+Supuestos!$B$10)</f>
        <v/>
      </c>
      <c r="N28" s="12">
        <f>N19*Supuestos!$B$6*(1-Supuestos!$B$58)/(1+Supuestos!$B$10)</f>
        <v/>
      </c>
      <c r="O28" s="12">
        <f>O19*Supuestos!$B$6*(1-Supuestos!$B$58)/(1+Supuestos!$B$10)</f>
        <v/>
      </c>
      <c r="P28" s="12">
        <f>P19*Supuestos!$B$6*(1-Supuestos!$B$58)/(1+Supuestos!$B$10)</f>
        <v/>
      </c>
      <c r="Q28" s="12">
        <f>Q19*Supuestos!$B$6*(1-Supuestos!$B$58)/(1+Supuestos!$B$10)</f>
        <v/>
      </c>
      <c r="R28" s="12">
        <f>R19*Supuestos!$B$6*(1-Supuestos!$B$58)/(1+Supuestos!$B$10)</f>
        <v/>
      </c>
      <c r="S28" s="12">
        <f>S19*Supuestos!$B$6*(1-Supuestos!$B$58)/(1+Supuestos!$B$10)</f>
        <v/>
      </c>
      <c r="T28" s="12">
        <f>T19*Supuestos!$B$6*(1-Supuestos!$B$58)/(1+Supuestos!$B$10)</f>
        <v/>
      </c>
      <c r="U28" s="12">
        <f>U19*Supuestos!$B$6*(1-Supuestos!$B$58)/(1+Supuestos!$B$10)</f>
        <v/>
      </c>
      <c r="V28" s="12">
        <f>V19*Supuestos!$B$6*(1-Supuestos!$B$58)/(1+Supuestos!$B$10)</f>
        <v/>
      </c>
      <c r="W28" s="12">
        <f>W19*Supuestos!$B$6*(1-Supuestos!$B$58)/(1+Supuestos!$B$10)</f>
        <v/>
      </c>
      <c r="X28" s="12">
        <f>X19*Supuestos!$B$6*(1-Supuestos!$B$58)/(1+Supuestos!$B$10)</f>
        <v/>
      </c>
      <c r="Y28" s="12">
        <f>Y19*Supuestos!$B$6*(1-Supuestos!$B$58)/(1+Supuestos!$B$10)</f>
        <v/>
      </c>
      <c r="Z28" s="12">
        <f>Z19*Supuestos!$B$6*(1-Supuestos!$B$58)/(1+Supuestos!$B$10)</f>
        <v/>
      </c>
    </row>
    <row r="29">
      <c r="A29" s="5" t="inlineStr">
        <is>
          <t>GB adicionales cobrados (médicos de alto consumo)</t>
        </is>
      </c>
      <c r="B29" s="2" t="n"/>
      <c r="C29" s="40">
        <f>C21*Supuestos!$B$25*Supuestos!$B$26</f>
        <v/>
      </c>
      <c r="D29" s="40">
        <f>D21*Supuestos!$B$25*Supuestos!$B$26</f>
        <v/>
      </c>
      <c r="E29" s="40">
        <f>E21*Supuestos!$B$25*Supuestos!$B$26</f>
        <v/>
      </c>
      <c r="F29" s="40">
        <f>F21*Supuestos!$B$25*Supuestos!$B$26</f>
        <v/>
      </c>
      <c r="G29" s="40">
        <f>G21*Supuestos!$B$25*Supuestos!$B$26</f>
        <v/>
      </c>
      <c r="H29" s="40">
        <f>H21*Supuestos!$B$25*Supuestos!$B$26</f>
        <v/>
      </c>
      <c r="I29" s="40">
        <f>I21*Supuestos!$B$25*Supuestos!$B$26</f>
        <v/>
      </c>
      <c r="J29" s="40">
        <f>J21*Supuestos!$B$25*Supuestos!$B$26</f>
        <v/>
      </c>
      <c r="K29" s="40">
        <f>K21*Supuestos!$B$25*Supuestos!$B$26</f>
        <v/>
      </c>
      <c r="L29" s="40">
        <f>L21*Supuestos!$B$25*Supuestos!$B$26</f>
        <v/>
      </c>
      <c r="M29" s="40">
        <f>M21*Supuestos!$B$25*Supuestos!$B$26</f>
        <v/>
      </c>
      <c r="N29" s="40">
        <f>N21*Supuestos!$B$25*Supuestos!$B$26</f>
        <v/>
      </c>
      <c r="O29" s="40">
        <f>O21*Supuestos!$B$25*Supuestos!$B$26</f>
        <v/>
      </c>
      <c r="P29" s="40">
        <f>P21*Supuestos!$B$25*Supuestos!$B$26</f>
        <v/>
      </c>
      <c r="Q29" s="40">
        <f>Q21*Supuestos!$B$25*Supuestos!$B$26</f>
        <v/>
      </c>
      <c r="R29" s="40">
        <f>R21*Supuestos!$B$25*Supuestos!$B$26</f>
        <v/>
      </c>
      <c r="S29" s="40">
        <f>S21*Supuestos!$B$25*Supuestos!$B$26</f>
        <v/>
      </c>
      <c r="T29" s="40">
        <f>T21*Supuestos!$B$25*Supuestos!$B$26</f>
        <v/>
      </c>
      <c r="U29" s="40">
        <f>U21*Supuestos!$B$25*Supuestos!$B$26</f>
        <v/>
      </c>
      <c r="V29" s="40">
        <f>V21*Supuestos!$B$25*Supuestos!$B$26</f>
        <v/>
      </c>
      <c r="W29" s="40">
        <f>W21*Supuestos!$B$25*Supuestos!$B$26</f>
        <v/>
      </c>
      <c r="X29" s="40">
        <f>X21*Supuestos!$B$25*Supuestos!$B$26</f>
        <v/>
      </c>
      <c r="Y29" s="40">
        <f>Y21*Supuestos!$B$25*Supuestos!$B$26</f>
        <v/>
      </c>
      <c r="Z29" s="40">
        <f>Z21*Supuestos!$B$25*Supuestos!$B$26</f>
        <v/>
      </c>
    </row>
    <row r="30">
      <c r="A30" s="5" t="inlineStr">
        <is>
          <t>GB guardados en total (se conservan 5 años, NOM-004)</t>
        </is>
      </c>
      <c r="B30" s="2" t="n"/>
      <c r="C30" s="40">
        <f>C21*Supuestos!$B$24+C29</f>
        <v/>
      </c>
      <c r="D30" s="40">
        <f>C30-C29+D21*Supuestos!$B$24+D29</f>
        <v/>
      </c>
      <c r="E30" s="40">
        <f>D30-D29+E21*Supuestos!$B$24+E29</f>
        <v/>
      </c>
      <c r="F30" s="40">
        <f>E30-E29+F21*Supuestos!$B$24+F29</f>
        <v/>
      </c>
      <c r="G30" s="40">
        <f>F30-F29+G21*Supuestos!$B$24+G29</f>
        <v/>
      </c>
      <c r="H30" s="40">
        <f>G30-G29+H21*Supuestos!$B$24+H29</f>
        <v/>
      </c>
      <c r="I30" s="40">
        <f>H30-H29+I21*Supuestos!$B$24+I29</f>
        <v/>
      </c>
      <c r="J30" s="40">
        <f>I30-I29+J21*Supuestos!$B$24+J29</f>
        <v/>
      </c>
      <c r="K30" s="40">
        <f>J30-J29+K21*Supuestos!$B$24+K29</f>
        <v/>
      </c>
      <c r="L30" s="40">
        <f>K30-K29+L21*Supuestos!$B$24+L29</f>
        <v/>
      </c>
      <c r="M30" s="40">
        <f>L30-L29+M21*Supuestos!$B$24+M29</f>
        <v/>
      </c>
      <c r="N30" s="40">
        <f>M30-M29+N21*Supuestos!$B$24+N29</f>
        <v/>
      </c>
      <c r="O30" s="40">
        <f>N30-N29+O21*Supuestos!$B$24+O29</f>
        <v/>
      </c>
      <c r="P30" s="40">
        <f>O30-O29+P21*Supuestos!$B$24+P29</f>
        <v/>
      </c>
      <c r="Q30" s="40">
        <f>P30-P29+Q21*Supuestos!$B$24+Q29</f>
        <v/>
      </c>
      <c r="R30" s="40">
        <f>Q30-Q29+R21*Supuestos!$B$24+R29</f>
        <v/>
      </c>
      <c r="S30" s="40">
        <f>R30-R29+S21*Supuestos!$B$24+S29</f>
        <v/>
      </c>
      <c r="T30" s="40">
        <f>S30-S29+T21*Supuestos!$B$24+T29</f>
        <v/>
      </c>
      <c r="U30" s="40">
        <f>T30-T29+U21*Supuestos!$B$24+U29</f>
        <v/>
      </c>
      <c r="V30" s="40">
        <f>U30-U29+V21*Supuestos!$B$24+V29</f>
        <v/>
      </c>
      <c r="W30" s="40">
        <f>V30-V29+W21*Supuestos!$B$24+W29</f>
        <v/>
      </c>
      <c r="X30" s="40">
        <f>W30-W29+X21*Supuestos!$B$24+X29</f>
        <v/>
      </c>
      <c r="Y30" s="40">
        <f>X30-X29+Y21*Supuestos!$B$24+Y29</f>
        <v/>
      </c>
      <c r="Z30" s="40">
        <f>Y30-Y29+Z21*Supuestos!$B$24+Z29</f>
        <v/>
      </c>
    </row>
    <row r="31">
      <c r="A31" s="5" t="inlineStr">
        <is>
          <t>Almacenamiento adicional</t>
        </is>
      </c>
      <c r="B31" s="2" t="n"/>
      <c r="C31" s="12">
        <f>C29*Supuestos!$B$23/(1+Supuestos!$B$10)</f>
        <v/>
      </c>
      <c r="D31" s="12">
        <f>D29*Supuestos!$B$23/(1+Supuestos!$B$10)</f>
        <v/>
      </c>
      <c r="E31" s="12">
        <f>E29*Supuestos!$B$23/(1+Supuestos!$B$10)</f>
        <v/>
      </c>
      <c r="F31" s="12">
        <f>F29*Supuestos!$B$23/(1+Supuestos!$B$10)</f>
        <v/>
      </c>
      <c r="G31" s="12">
        <f>G29*Supuestos!$B$23/(1+Supuestos!$B$10)</f>
        <v/>
      </c>
      <c r="H31" s="12">
        <f>H29*Supuestos!$B$23/(1+Supuestos!$B$10)</f>
        <v/>
      </c>
      <c r="I31" s="12">
        <f>I29*Supuestos!$B$23/(1+Supuestos!$B$10)</f>
        <v/>
      </c>
      <c r="J31" s="12">
        <f>J29*Supuestos!$B$23/(1+Supuestos!$B$10)</f>
        <v/>
      </c>
      <c r="K31" s="12">
        <f>K29*Supuestos!$B$23/(1+Supuestos!$B$10)</f>
        <v/>
      </c>
      <c r="L31" s="12">
        <f>L29*Supuestos!$B$23/(1+Supuestos!$B$10)</f>
        <v/>
      </c>
      <c r="M31" s="12">
        <f>M29*Supuestos!$B$23/(1+Supuestos!$B$10)</f>
        <v/>
      </c>
      <c r="N31" s="12">
        <f>N29*Supuestos!$B$23/(1+Supuestos!$B$10)</f>
        <v/>
      </c>
      <c r="O31" s="12">
        <f>O29*Supuestos!$B$23/(1+Supuestos!$B$10)</f>
        <v/>
      </c>
      <c r="P31" s="12">
        <f>P29*Supuestos!$B$23/(1+Supuestos!$B$10)</f>
        <v/>
      </c>
      <c r="Q31" s="12">
        <f>Q29*Supuestos!$B$23/(1+Supuestos!$B$10)</f>
        <v/>
      </c>
      <c r="R31" s="12">
        <f>R29*Supuestos!$B$23/(1+Supuestos!$B$10)</f>
        <v/>
      </c>
      <c r="S31" s="12">
        <f>S29*Supuestos!$B$23/(1+Supuestos!$B$10)</f>
        <v/>
      </c>
      <c r="T31" s="12">
        <f>T29*Supuestos!$B$23/(1+Supuestos!$B$10)</f>
        <v/>
      </c>
      <c r="U31" s="12">
        <f>U29*Supuestos!$B$23/(1+Supuestos!$B$10)</f>
        <v/>
      </c>
      <c r="V31" s="12">
        <f>V29*Supuestos!$B$23/(1+Supuestos!$B$10)</f>
        <v/>
      </c>
      <c r="W31" s="12">
        <f>W29*Supuestos!$B$23/(1+Supuestos!$B$10)</f>
        <v/>
      </c>
      <c r="X31" s="12">
        <f>X29*Supuestos!$B$23/(1+Supuestos!$B$10)</f>
        <v/>
      </c>
      <c r="Y31" s="12">
        <f>Y29*Supuestos!$B$23/(1+Supuestos!$B$10)</f>
        <v/>
      </c>
      <c r="Z31" s="12">
        <f>Z29*Supuestos!$B$23/(1+Supuestos!$B$10)</f>
        <v/>
      </c>
    </row>
    <row r="32">
      <c r="A32" s="41" t="inlineStr">
        <is>
          <t>Ingreso recurrente mensual (MRR)</t>
        </is>
      </c>
      <c r="B32" s="42" t="n"/>
      <c r="C32" s="43">
        <f>C25+C26+C27+C28+C31</f>
        <v/>
      </c>
      <c r="D32" s="43">
        <f>D25+D26+D27+D28+D31</f>
        <v/>
      </c>
      <c r="E32" s="43">
        <f>E25+E26+E27+E28+E31</f>
        <v/>
      </c>
      <c r="F32" s="43">
        <f>F25+F26+F27+F28+F31</f>
        <v/>
      </c>
      <c r="G32" s="43">
        <f>G25+G26+G27+G28+G31</f>
        <v/>
      </c>
      <c r="H32" s="43">
        <f>H25+H26+H27+H28+H31</f>
        <v/>
      </c>
      <c r="I32" s="43">
        <f>I25+I26+I27+I28+I31</f>
        <v/>
      </c>
      <c r="J32" s="43">
        <f>J25+J26+J27+J28+J31</f>
        <v/>
      </c>
      <c r="K32" s="43">
        <f>K25+K26+K27+K28+K31</f>
        <v/>
      </c>
      <c r="L32" s="43">
        <f>L25+L26+L27+L28+L31</f>
        <v/>
      </c>
      <c r="M32" s="43">
        <f>M25+M26+M27+M28+M31</f>
        <v/>
      </c>
      <c r="N32" s="43">
        <f>N25+N26+N27+N28+N31</f>
        <v/>
      </c>
      <c r="O32" s="43">
        <f>O25+O26+O27+O28+O31</f>
        <v/>
      </c>
      <c r="P32" s="43">
        <f>P25+P26+P27+P28+P31</f>
        <v/>
      </c>
      <c r="Q32" s="43">
        <f>Q25+Q26+Q27+Q28+Q31</f>
        <v/>
      </c>
      <c r="R32" s="43">
        <f>R25+R26+R27+R28+R31</f>
        <v/>
      </c>
      <c r="S32" s="43">
        <f>S25+S26+S27+S28+S31</f>
        <v/>
      </c>
      <c r="T32" s="43">
        <f>T25+T26+T27+T28+T31</f>
        <v/>
      </c>
      <c r="U32" s="43">
        <f>U25+U26+U27+U28+U31</f>
        <v/>
      </c>
      <c r="V32" s="43">
        <f>V25+V26+V27+V28+V31</f>
        <v/>
      </c>
      <c r="W32" s="43">
        <f>W25+W26+W27+W28+W31</f>
        <v/>
      </c>
      <c r="X32" s="43">
        <f>X25+X26+X27+X28+X31</f>
        <v/>
      </c>
      <c r="Y32" s="43">
        <f>Y25+Y26+Y27+Y28+Y31</f>
        <v/>
      </c>
      <c r="Z32" s="43">
        <f>Z25+Z26+Z27+Z28+Z31</f>
        <v/>
      </c>
    </row>
    <row r="33">
      <c r="A33" s="5" t="inlineStr">
        <is>
          <t>Migraciones vendidas</t>
        </is>
      </c>
      <c r="B33" s="2" t="n"/>
      <c r="C33" s="40">
        <f>(C12+C15+C18)*Supuestos!$B$68</f>
        <v/>
      </c>
      <c r="D33" s="40">
        <f>(D12+D15+D18)*Supuestos!$B$68</f>
        <v/>
      </c>
      <c r="E33" s="40">
        <f>(E12+E15+E18)*Supuestos!$B$68</f>
        <v/>
      </c>
      <c r="F33" s="40">
        <f>(F12+F15+F18)*Supuestos!$B$68</f>
        <v/>
      </c>
      <c r="G33" s="40">
        <f>(G12+G15+G18)*Supuestos!$B$68</f>
        <v/>
      </c>
      <c r="H33" s="40">
        <f>(H12+H15+H18)*Supuestos!$B$68</f>
        <v/>
      </c>
      <c r="I33" s="40">
        <f>(I12+I15+I18)*Supuestos!$B$68</f>
        <v/>
      </c>
      <c r="J33" s="40">
        <f>(J12+J15+J18)*Supuestos!$B$68</f>
        <v/>
      </c>
      <c r="K33" s="40">
        <f>(K12+K15+K18)*Supuestos!$B$68</f>
        <v/>
      </c>
      <c r="L33" s="40">
        <f>(L12+L15+L18)*Supuestos!$B$68</f>
        <v/>
      </c>
      <c r="M33" s="40">
        <f>(M12+M15+M18)*Supuestos!$B$68</f>
        <v/>
      </c>
      <c r="N33" s="40">
        <f>(N12+N15+N18)*Supuestos!$B$68</f>
        <v/>
      </c>
      <c r="O33" s="40">
        <f>(O12+O15+O18)*Supuestos!$B$68</f>
        <v/>
      </c>
      <c r="P33" s="40">
        <f>(P12+P15+P18)*Supuestos!$B$68</f>
        <v/>
      </c>
      <c r="Q33" s="40">
        <f>(Q12+Q15+Q18)*Supuestos!$B$68</f>
        <v/>
      </c>
      <c r="R33" s="40">
        <f>(R12+R15+R18)*Supuestos!$B$68</f>
        <v/>
      </c>
      <c r="S33" s="40">
        <f>(S12+S15+S18)*Supuestos!$B$68</f>
        <v/>
      </c>
      <c r="T33" s="40">
        <f>(T12+T15+T18)*Supuestos!$B$68</f>
        <v/>
      </c>
      <c r="U33" s="40">
        <f>(U12+U15+U18)*Supuestos!$B$68</f>
        <v/>
      </c>
      <c r="V33" s="40">
        <f>(V12+V15+V18)*Supuestos!$B$68</f>
        <v/>
      </c>
      <c r="W33" s="40">
        <f>(W12+W15+W18)*Supuestos!$B$68</f>
        <v/>
      </c>
      <c r="X33" s="40">
        <f>(X12+X15+X18)*Supuestos!$B$68</f>
        <v/>
      </c>
      <c r="Y33" s="40">
        <f>(Y12+Y15+Y18)*Supuestos!$B$68</f>
        <v/>
      </c>
      <c r="Z33" s="40">
        <f>(Z12+Z15+Z18)*Supuestos!$B$68</f>
        <v/>
      </c>
    </row>
    <row r="34">
      <c r="A34" s="5" t="inlineStr">
        <is>
          <t>Ingreso por migraciones</t>
        </is>
      </c>
      <c r="B34" s="2" t="n"/>
      <c r="C34" s="12">
        <f>C33*Supuestos!$B$46*Supuestos!$B$11/(1+Supuestos!$B$10)</f>
        <v/>
      </c>
      <c r="D34" s="12">
        <f>D33*Supuestos!$B$46*Supuestos!$B$11/(1+Supuestos!$B$10)</f>
        <v/>
      </c>
      <c r="E34" s="12">
        <f>E33*Supuestos!$B$46*Supuestos!$B$11/(1+Supuestos!$B$10)</f>
        <v/>
      </c>
      <c r="F34" s="12">
        <f>F33*Supuestos!$B$46*Supuestos!$B$11/(1+Supuestos!$B$10)</f>
        <v/>
      </c>
      <c r="G34" s="12">
        <f>G33*Supuestos!$B$46*Supuestos!$B$11/(1+Supuestos!$B$10)</f>
        <v/>
      </c>
      <c r="H34" s="12">
        <f>H33*Supuestos!$B$46*Supuestos!$B$11/(1+Supuestos!$B$10)</f>
        <v/>
      </c>
      <c r="I34" s="12">
        <f>I33*Supuestos!$B$46*Supuestos!$B$11/(1+Supuestos!$B$10)</f>
        <v/>
      </c>
      <c r="J34" s="12">
        <f>J33*Supuestos!$B$46*Supuestos!$B$11/(1+Supuestos!$B$10)</f>
        <v/>
      </c>
      <c r="K34" s="12">
        <f>K33*Supuestos!$B$46*Supuestos!$B$11/(1+Supuestos!$B$10)</f>
        <v/>
      </c>
      <c r="L34" s="12">
        <f>L33*Supuestos!$B$46*Supuestos!$B$11/(1+Supuestos!$B$10)</f>
        <v/>
      </c>
      <c r="M34" s="12">
        <f>M33*Supuestos!$B$46*Supuestos!$B$11/(1+Supuestos!$B$10)</f>
        <v/>
      </c>
      <c r="N34" s="12">
        <f>N33*Supuestos!$B$46*Supuestos!$B$11/(1+Supuestos!$B$10)</f>
        <v/>
      </c>
      <c r="O34" s="12">
        <f>O33*Supuestos!$B$46*Supuestos!$B$11/(1+Supuestos!$B$10)</f>
        <v/>
      </c>
      <c r="P34" s="12">
        <f>P33*Supuestos!$B$46*Supuestos!$B$11/(1+Supuestos!$B$10)</f>
        <v/>
      </c>
      <c r="Q34" s="12">
        <f>Q33*Supuestos!$B$46*Supuestos!$B$11/(1+Supuestos!$B$10)</f>
        <v/>
      </c>
      <c r="R34" s="12">
        <f>R33*Supuestos!$B$46*Supuestos!$B$11/(1+Supuestos!$B$10)</f>
        <v/>
      </c>
      <c r="S34" s="12">
        <f>S33*Supuestos!$B$46*Supuestos!$B$11/(1+Supuestos!$B$10)</f>
        <v/>
      </c>
      <c r="T34" s="12">
        <f>T33*Supuestos!$B$46*Supuestos!$B$11/(1+Supuestos!$B$10)</f>
        <v/>
      </c>
      <c r="U34" s="12">
        <f>U33*Supuestos!$B$46*Supuestos!$B$11/(1+Supuestos!$B$10)</f>
        <v/>
      </c>
      <c r="V34" s="12">
        <f>V33*Supuestos!$B$46*Supuestos!$B$11/(1+Supuestos!$B$10)</f>
        <v/>
      </c>
      <c r="W34" s="12">
        <f>W33*Supuestos!$B$46*Supuestos!$B$11/(1+Supuestos!$B$10)</f>
        <v/>
      </c>
      <c r="X34" s="12">
        <f>X33*Supuestos!$B$46*Supuestos!$B$11/(1+Supuestos!$B$10)</f>
        <v/>
      </c>
      <c r="Y34" s="12">
        <f>Y33*Supuestos!$B$46*Supuestos!$B$11/(1+Supuestos!$B$10)</f>
        <v/>
      </c>
      <c r="Z34" s="12">
        <f>Z33*Supuestos!$B$46*Supuestos!$B$11/(1+Supuestos!$B$10)</f>
        <v/>
      </c>
    </row>
    <row r="35">
      <c r="A35" s="41" t="inlineStr">
        <is>
          <t>INGRESO TOTAL</t>
        </is>
      </c>
      <c r="B35" s="42" t="n"/>
      <c r="C35" s="43">
        <f>C32+C34</f>
        <v/>
      </c>
      <c r="D35" s="43">
        <f>D32+D34</f>
        <v/>
      </c>
      <c r="E35" s="43">
        <f>E32+E34</f>
        <v/>
      </c>
      <c r="F35" s="43">
        <f>F32+F34</f>
        <v/>
      </c>
      <c r="G35" s="43">
        <f>G32+G34</f>
        <v/>
      </c>
      <c r="H35" s="43">
        <f>H32+H34</f>
        <v/>
      </c>
      <c r="I35" s="43">
        <f>I32+I34</f>
        <v/>
      </c>
      <c r="J35" s="43">
        <f>J32+J34</f>
        <v/>
      </c>
      <c r="K35" s="43">
        <f>K32+K34</f>
        <v/>
      </c>
      <c r="L35" s="43">
        <f>L32+L34</f>
        <v/>
      </c>
      <c r="M35" s="43">
        <f>M32+M34</f>
        <v/>
      </c>
      <c r="N35" s="43">
        <f>N32+N34</f>
        <v/>
      </c>
      <c r="O35" s="43">
        <f>O32+O34</f>
        <v/>
      </c>
      <c r="P35" s="43">
        <f>P32+P34</f>
        <v/>
      </c>
      <c r="Q35" s="43">
        <f>Q32+Q34</f>
        <v/>
      </c>
      <c r="R35" s="43">
        <f>R32+R34</f>
        <v/>
      </c>
      <c r="S35" s="43">
        <f>S32+S34</f>
        <v/>
      </c>
      <c r="T35" s="43">
        <f>T32+T34</f>
        <v/>
      </c>
      <c r="U35" s="43">
        <f>U32+U34</f>
        <v/>
      </c>
      <c r="V35" s="43">
        <f>V32+V34</f>
        <v/>
      </c>
      <c r="W35" s="43">
        <f>W32+W34</f>
        <v/>
      </c>
      <c r="X35" s="43">
        <f>X32+X34</f>
        <v/>
      </c>
      <c r="Y35" s="43">
        <f>Y32+Y34</f>
        <v/>
      </c>
      <c r="Z35" s="43">
        <f>Z32+Z34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7" t="inlineStr">
        <is>
          <t>COSTOS VARIABLES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</row>
    <row r="38">
      <c r="A38" s="13" t="inlineStr">
        <is>
          <t>IA (NOVA)</t>
        </is>
      </c>
      <c r="B38" s="2" t="n"/>
      <c r="C38" s="12">
        <f>(C22*Supuestos!$B$17+C21*Supuestos!$B$18)*Supuestos!$B$14</f>
        <v/>
      </c>
      <c r="D38" s="12">
        <f>(D22*Supuestos!$B$17+D21*Supuestos!$B$18)*Supuestos!$B$14</f>
        <v/>
      </c>
      <c r="E38" s="12">
        <f>(E22*Supuestos!$B$17+E21*Supuestos!$B$18)*Supuestos!$B$14</f>
        <v/>
      </c>
      <c r="F38" s="12">
        <f>(F22*Supuestos!$B$17+F21*Supuestos!$B$18)*Supuestos!$B$14</f>
        <v/>
      </c>
      <c r="G38" s="12">
        <f>(G22*Supuestos!$B$17+G21*Supuestos!$B$18)*Supuestos!$B$14</f>
        <v/>
      </c>
      <c r="H38" s="12">
        <f>(H22*Supuestos!$B$17+H21*Supuestos!$B$18)*Supuestos!$B$14</f>
        <v/>
      </c>
      <c r="I38" s="12">
        <f>(I22*Supuestos!$B$17+I21*Supuestos!$B$18)*Supuestos!$B$14</f>
        <v/>
      </c>
      <c r="J38" s="12">
        <f>(J22*Supuestos!$B$17+J21*Supuestos!$B$18)*Supuestos!$B$14</f>
        <v/>
      </c>
      <c r="K38" s="12">
        <f>(K22*Supuestos!$B$17+K21*Supuestos!$B$18)*Supuestos!$B$14</f>
        <v/>
      </c>
      <c r="L38" s="12">
        <f>(L22*Supuestos!$B$17+L21*Supuestos!$B$18)*Supuestos!$B$14</f>
        <v/>
      </c>
      <c r="M38" s="12">
        <f>(M22*Supuestos!$B$17+M21*Supuestos!$B$18)*Supuestos!$B$14</f>
        <v/>
      </c>
      <c r="N38" s="12">
        <f>(N22*Supuestos!$B$17+N21*Supuestos!$B$18)*Supuestos!$B$14</f>
        <v/>
      </c>
      <c r="O38" s="12">
        <f>(O22*Supuestos!$B$17+O21*Supuestos!$B$18)*Supuestos!$B$14</f>
        <v/>
      </c>
      <c r="P38" s="12">
        <f>(P22*Supuestos!$B$17+P21*Supuestos!$B$18)*Supuestos!$B$14</f>
        <v/>
      </c>
      <c r="Q38" s="12">
        <f>(Q22*Supuestos!$B$17+Q21*Supuestos!$B$18)*Supuestos!$B$14</f>
        <v/>
      </c>
      <c r="R38" s="12">
        <f>(R22*Supuestos!$B$17+R21*Supuestos!$B$18)*Supuestos!$B$14</f>
        <v/>
      </c>
      <c r="S38" s="12">
        <f>(S22*Supuestos!$B$17+S21*Supuestos!$B$18)*Supuestos!$B$14</f>
        <v/>
      </c>
      <c r="T38" s="12">
        <f>(T22*Supuestos!$B$17+T21*Supuestos!$B$18)*Supuestos!$B$14</f>
        <v/>
      </c>
      <c r="U38" s="12">
        <f>(U22*Supuestos!$B$17+U21*Supuestos!$B$18)*Supuestos!$B$14</f>
        <v/>
      </c>
      <c r="V38" s="12">
        <f>(V22*Supuestos!$B$17+V21*Supuestos!$B$18)*Supuestos!$B$14</f>
        <v/>
      </c>
      <c r="W38" s="12">
        <f>(W22*Supuestos!$B$17+W21*Supuestos!$B$18)*Supuestos!$B$14</f>
        <v/>
      </c>
      <c r="X38" s="12">
        <f>(X22*Supuestos!$B$17+X21*Supuestos!$B$18)*Supuestos!$B$14</f>
        <v/>
      </c>
      <c r="Y38" s="12">
        <f>(Y22*Supuestos!$B$17+Y21*Supuestos!$B$18)*Supuestos!$B$14</f>
        <v/>
      </c>
      <c r="Z38" s="12">
        <f>(Z22*Supuestos!$B$17+Z21*Supuestos!$B$18)*Supuestos!$B$14</f>
        <v/>
      </c>
    </row>
    <row r="39">
      <c r="A39" s="5" t="inlineStr">
        <is>
          <t>Almacenamiento (2 copias)</t>
        </is>
      </c>
      <c r="B39" s="2" t="n"/>
      <c r="C39" s="12">
        <f>C30*(Supuestos!$B$27+Supuestos!$B$28)*Supuestos!$B$14</f>
        <v/>
      </c>
      <c r="D39" s="12">
        <f>D30*(Supuestos!$B$27+Supuestos!$B$28)*Supuestos!$B$14</f>
        <v/>
      </c>
      <c r="E39" s="12">
        <f>E30*(Supuestos!$B$27+Supuestos!$B$28)*Supuestos!$B$14</f>
        <v/>
      </c>
      <c r="F39" s="12">
        <f>F30*(Supuestos!$B$27+Supuestos!$B$28)*Supuestos!$B$14</f>
        <v/>
      </c>
      <c r="G39" s="12">
        <f>G30*(Supuestos!$B$27+Supuestos!$B$28)*Supuestos!$B$14</f>
        <v/>
      </c>
      <c r="H39" s="12">
        <f>H30*(Supuestos!$B$27+Supuestos!$B$28)*Supuestos!$B$14</f>
        <v/>
      </c>
      <c r="I39" s="12">
        <f>I30*(Supuestos!$B$27+Supuestos!$B$28)*Supuestos!$B$14</f>
        <v/>
      </c>
      <c r="J39" s="12">
        <f>J30*(Supuestos!$B$27+Supuestos!$B$28)*Supuestos!$B$14</f>
        <v/>
      </c>
      <c r="K39" s="12">
        <f>K30*(Supuestos!$B$27+Supuestos!$B$28)*Supuestos!$B$14</f>
        <v/>
      </c>
      <c r="L39" s="12">
        <f>L30*(Supuestos!$B$27+Supuestos!$B$28)*Supuestos!$B$14</f>
        <v/>
      </c>
      <c r="M39" s="12">
        <f>M30*(Supuestos!$B$27+Supuestos!$B$28)*Supuestos!$B$14</f>
        <v/>
      </c>
      <c r="N39" s="12">
        <f>N30*(Supuestos!$B$27+Supuestos!$B$28)*Supuestos!$B$14</f>
        <v/>
      </c>
      <c r="O39" s="12">
        <f>O30*(Supuestos!$B$27+Supuestos!$B$28)*Supuestos!$B$14</f>
        <v/>
      </c>
      <c r="P39" s="12">
        <f>P30*(Supuestos!$B$27+Supuestos!$B$28)*Supuestos!$B$14</f>
        <v/>
      </c>
      <c r="Q39" s="12">
        <f>Q30*(Supuestos!$B$27+Supuestos!$B$28)*Supuestos!$B$14</f>
        <v/>
      </c>
      <c r="R39" s="12">
        <f>R30*(Supuestos!$B$27+Supuestos!$B$28)*Supuestos!$B$14</f>
        <v/>
      </c>
      <c r="S39" s="12">
        <f>S30*(Supuestos!$B$27+Supuestos!$B$28)*Supuestos!$B$14</f>
        <v/>
      </c>
      <c r="T39" s="12">
        <f>T30*(Supuestos!$B$27+Supuestos!$B$28)*Supuestos!$B$14</f>
        <v/>
      </c>
      <c r="U39" s="12">
        <f>U30*(Supuestos!$B$27+Supuestos!$B$28)*Supuestos!$B$14</f>
        <v/>
      </c>
      <c r="V39" s="12">
        <f>V30*(Supuestos!$B$27+Supuestos!$B$28)*Supuestos!$B$14</f>
        <v/>
      </c>
      <c r="W39" s="12">
        <f>W30*(Supuestos!$B$27+Supuestos!$B$28)*Supuestos!$B$14</f>
        <v/>
      </c>
      <c r="X39" s="12">
        <f>X30*(Supuestos!$B$27+Supuestos!$B$28)*Supuestos!$B$14</f>
        <v/>
      </c>
      <c r="Y39" s="12">
        <f>Y30*(Supuestos!$B$27+Supuestos!$B$28)*Supuestos!$B$14</f>
        <v/>
      </c>
      <c r="Z39" s="12">
        <f>Z30*(Supuestos!$B$27+Supuestos!$B$28)*Supuestos!$B$14</f>
        <v/>
      </c>
    </row>
    <row r="40">
      <c r="A40" s="5" t="inlineStr">
        <is>
          <t>Comisión de cobro (con IVA de la comisión)</t>
        </is>
      </c>
      <c r="B40" s="2" t="n"/>
      <c r="C40" s="12">
        <f>((C20+C33)*Supuestos!$B$32+C35*(1+Supuestos!$B$10)*Supuestos!$B$31)*(1+Supuestos!$B$10)</f>
        <v/>
      </c>
      <c r="D40" s="12">
        <f>((D20+D33)*Supuestos!$B$32+D35*(1+Supuestos!$B$10)*Supuestos!$B$31)*(1+Supuestos!$B$10)</f>
        <v/>
      </c>
      <c r="E40" s="12">
        <f>((E20+E33)*Supuestos!$B$32+E35*(1+Supuestos!$B$10)*Supuestos!$B$31)*(1+Supuestos!$B$10)</f>
        <v/>
      </c>
      <c r="F40" s="12">
        <f>((F20+F33)*Supuestos!$B$32+F35*(1+Supuestos!$B$10)*Supuestos!$B$31)*(1+Supuestos!$B$10)</f>
        <v/>
      </c>
      <c r="G40" s="12">
        <f>((G20+G33)*Supuestos!$B$32+G35*(1+Supuestos!$B$10)*Supuestos!$B$31)*(1+Supuestos!$B$10)</f>
        <v/>
      </c>
      <c r="H40" s="12">
        <f>((H20+H33)*Supuestos!$B$32+H35*(1+Supuestos!$B$10)*Supuestos!$B$31)*(1+Supuestos!$B$10)</f>
        <v/>
      </c>
      <c r="I40" s="12">
        <f>((I20+I33)*Supuestos!$B$32+I35*(1+Supuestos!$B$10)*Supuestos!$B$31)*(1+Supuestos!$B$10)</f>
        <v/>
      </c>
      <c r="J40" s="12">
        <f>((J20+J33)*Supuestos!$B$32+J35*(1+Supuestos!$B$10)*Supuestos!$B$31)*(1+Supuestos!$B$10)</f>
        <v/>
      </c>
      <c r="K40" s="12">
        <f>((K20+K33)*Supuestos!$B$32+K35*(1+Supuestos!$B$10)*Supuestos!$B$31)*(1+Supuestos!$B$10)</f>
        <v/>
      </c>
      <c r="L40" s="12">
        <f>((L20+L33)*Supuestos!$B$32+L35*(1+Supuestos!$B$10)*Supuestos!$B$31)*(1+Supuestos!$B$10)</f>
        <v/>
      </c>
      <c r="M40" s="12">
        <f>((M20+M33)*Supuestos!$B$32+M35*(1+Supuestos!$B$10)*Supuestos!$B$31)*(1+Supuestos!$B$10)</f>
        <v/>
      </c>
      <c r="N40" s="12">
        <f>((N20+N33)*Supuestos!$B$32+N35*(1+Supuestos!$B$10)*Supuestos!$B$31)*(1+Supuestos!$B$10)</f>
        <v/>
      </c>
      <c r="O40" s="12">
        <f>((O20+O33)*Supuestos!$B$32+O35*(1+Supuestos!$B$10)*Supuestos!$B$31)*(1+Supuestos!$B$10)</f>
        <v/>
      </c>
      <c r="P40" s="12">
        <f>((P20+P33)*Supuestos!$B$32+P35*(1+Supuestos!$B$10)*Supuestos!$B$31)*(1+Supuestos!$B$10)</f>
        <v/>
      </c>
      <c r="Q40" s="12">
        <f>((Q20+Q33)*Supuestos!$B$32+Q35*(1+Supuestos!$B$10)*Supuestos!$B$31)*(1+Supuestos!$B$10)</f>
        <v/>
      </c>
      <c r="R40" s="12">
        <f>((R20+R33)*Supuestos!$B$32+R35*(1+Supuestos!$B$10)*Supuestos!$B$31)*(1+Supuestos!$B$10)</f>
        <v/>
      </c>
      <c r="S40" s="12">
        <f>((S20+S33)*Supuestos!$B$32+S35*(1+Supuestos!$B$10)*Supuestos!$B$31)*(1+Supuestos!$B$10)</f>
        <v/>
      </c>
      <c r="T40" s="12">
        <f>((T20+T33)*Supuestos!$B$32+T35*(1+Supuestos!$B$10)*Supuestos!$B$31)*(1+Supuestos!$B$10)</f>
        <v/>
      </c>
      <c r="U40" s="12">
        <f>((U20+U33)*Supuestos!$B$32+U35*(1+Supuestos!$B$10)*Supuestos!$B$31)*(1+Supuestos!$B$10)</f>
        <v/>
      </c>
      <c r="V40" s="12">
        <f>((V20+V33)*Supuestos!$B$32+V35*(1+Supuestos!$B$10)*Supuestos!$B$31)*(1+Supuestos!$B$10)</f>
        <v/>
      </c>
      <c r="W40" s="12">
        <f>((W20+W33)*Supuestos!$B$32+W35*(1+Supuestos!$B$10)*Supuestos!$B$31)*(1+Supuestos!$B$10)</f>
        <v/>
      </c>
      <c r="X40" s="12">
        <f>((X20+X33)*Supuestos!$B$32+X35*(1+Supuestos!$B$10)*Supuestos!$B$31)*(1+Supuestos!$B$10)</f>
        <v/>
      </c>
      <c r="Y40" s="12">
        <f>((Y20+Y33)*Supuestos!$B$32+Y35*(1+Supuestos!$B$10)*Supuestos!$B$31)*(1+Supuestos!$B$10)</f>
        <v/>
      </c>
      <c r="Z40" s="12">
        <f>((Z20+Z33)*Supuestos!$B$32+Z35*(1+Supuestos!$B$10)*Supuestos!$B$31)*(1+Supuestos!$B$10)</f>
        <v/>
      </c>
    </row>
    <row r="41">
      <c r="A41" s="5" t="inlineStr">
        <is>
          <t>Facturas CFDI</t>
        </is>
      </c>
      <c r="B41" s="2" t="n"/>
      <c r="C41" s="12">
        <f>(C20+C33)*Supuestos!$B$33</f>
        <v/>
      </c>
      <c r="D41" s="12">
        <f>(D20+D33)*Supuestos!$B$33</f>
        <v/>
      </c>
      <c r="E41" s="12">
        <f>(E20+E33)*Supuestos!$B$33</f>
        <v/>
      </c>
      <c r="F41" s="12">
        <f>(F20+F33)*Supuestos!$B$33</f>
        <v/>
      </c>
      <c r="G41" s="12">
        <f>(G20+G33)*Supuestos!$B$33</f>
        <v/>
      </c>
      <c r="H41" s="12">
        <f>(H20+H33)*Supuestos!$B$33</f>
        <v/>
      </c>
      <c r="I41" s="12">
        <f>(I20+I33)*Supuestos!$B$33</f>
        <v/>
      </c>
      <c r="J41" s="12">
        <f>(J20+J33)*Supuestos!$B$33</f>
        <v/>
      </c>
      <c r="K41" s="12">
        <f>(K20+K33)*Supuestos!$B$33</f>
        <v/>
      </c>
      <c r="L41" s="12">
        <f>(L20+L33)*Supuestos!$B$33</f>
        <v/>
      </c>
      <c r="M41" s="12">
        <f>(M20+M33)*Supuestos!$B$33</f>
        <v/>
      </c>
      <c r="N41" s="12">
        <f>(N20+N33)*Supuestos!$B$33</f>
        <v/>
      </c>
      <c r="O41" s="12">
        <f>(O20+O33)*Supuestos!$B$33</f>
        <v/>
      </c>
      <c r="P41" s="12">
        <f>(P20+P33)*Supuestos!$B$33</f>
        <v/>
      </c>
      <c r="Q41" s="12">
        <f>(Q20+Q33)*Supuestos!$B$33</f>
        <v/>
      </c>
      <c r="R41" s="12">
        <f>(R20+R33)*Supuestos!$B$33</f>
        <v/>
      </c>
      <c r="S41" s="12">
        <f>(S20+S33)*Supuestos!$B$33</f>
        <v/>
      </c>
      <c r="T41" s="12">
        <f>(T20+T33)*Supuestos!$B$33</f>
        <v/>
      </c>
      <c r="U41" s="12">
        <f>(U20+U33)*Supuestos!$B$33</f>
        <v/>
      </c>
      <c r="V41" s="12">
        <f>(V20+V33)*Supuestos!$B$33</f>
        <v/>
      </c>
      <c r="W41" s="12">
        <f>(W20+W33)*Supuestos!$B$33</f>
        <v/>
      </c>
      <c r="X41" s="12">
        <f>(X20+X33)*Supuestos!$B$33</f>
        <v/>
      </c>
      <c r="Y41" s="12">
        <f>(Y20+Y33)*Supuestos!$B$33</f>
        <v/>
      </c>
      <c r="Z41" s="12">
        <f>(Z20+Z33)*Supuestos!$B$33</f>
        <v/>
      </c>
    </row>
    <row r="42">
      <c r="A42" s="5" t="inlineStr">
        <is>
          <t>Soporte</t>
        </is>
      </c>
      <c r="B42" s="2" t="n"/>
      <c r="C42" s="12">
        <f>C20*Supuestos!$B$37*Supuestos!$B$38</f>
        <v/>
      </c>
      <c r="D42" s="12">
        <f>D20*Supuestos!$B$37*Supuestos!$B$38</f>
        <v/>
      </c>
      <c r="E42" s="12">
        <f>E20*Supuestos!$B$37*Supuestos!$B$38</f>
        <v/>
      </c>
      <c r="F42" s="12">
        <f>F20*Supuestos!$B$37*Supuestos!$B$38</f>
        <v/>
      </c>
      <c r="G42" s="12">
        <f>G20*Supuestos!$B$37*Supuestos!$B$38</f>
        <v/>
      </c>
      <c r="H42" s="12">
        <f>H20*Supuestos!$B$37*Supuestos!$B$38</f>
        <v/>
      </c>
      <c r="I42" s="12">
        <f>I20*Supuestos!$B$37*Supuestos!$B$38</f>
        <v/>
      </c>
      <c r="J42" s="12">
        <f>J20*Supuestos!$B$37*Supuestos!$B$38</f>
        <v/>
      </c>
      <c r="K42" s="12">
        <f>K20*Supuestos!$B$37*Supuestos!$B$38</f>
        <v/>
      </c>
      <c r="L42" s="12">
        <f>L20*Supuestos!$B$37*Supuestos!$B$38</f>
        <v/>
      </c>
      <c r="M42" s="12">
        <f>M20*Supuestos!$B$37*Supuestos!$B$38</f>
        <v/>
      </c>
      <c r="N42" s="12">
        <f>N20*Supuestos!$B$37*Supuestos!$B$38</f>
        <v/>
      </c>
      <c r="O42" s="12">
        <f>O20*Supuestos!$B$37*Supuestos!$B$38</f>
        <v/>
      </c>
      <c r="P42" s="12">
        <f>P20*Supuestos!$B$37*Supuestos!$B$38</f>
        <v/>
      </c>
      <c r="Q42" s="12">
        <f>Q20*Supuestos!$B$37*Supuestos!$B$38</f>
        <v/>
      </c>
      <c r="R42" s="12">
        <f>R20*Supuestos!$B$37*Supuestos!$B$38</f>
        <v/>
      </c>
      <c r="S42" s="12">
        <f>S20*Supuestos!$B$37*Supuestos!$B$38</f>
        <v/>
      </c>
      <c r="T42" s="12">
        <f>T20*Supuestos!$B$37*Supuestos!$B$38</f>
        <v/>
      </c>
      <c r="U42" s="12">
        <f>U20*Supuestos!$B$37*Supuestos!$B$38</f>
        <v/>
      </c>
      <c r="V42" s="12">
        <f>V20*Supuestos!$B$37*Supuestos!$B$38</f>
        <v/>
      </c>
      <c r="W42" s="12">
        <f>W20*Supuestos!$B$37*Supuestos!$B$38</f>
        <v/>
      </c>
      <c r="X42" s="12">
        <f>X20*Supuestos!$B$37*Supuestos!$B$38</f>
        <v/>
      </c>
      <c r="Y42" s="12">
        <f>Y20*Supuestos!$B$37*Supuestos!$B$38</f>
        <v/>
      </c>
      <c r="Z42" s="12">
        <f>Z20*Supuestos!$B$37*Supuestos!$B$38</f>
        <v/>
      </c>
    </row>
    <row r="43">
      <c r="A43" s="5" t="inlineStr">
        <is>
          <t>IA de las migraciones</t>
        </is>
      </c>
      <c r="B43" s="2" t="n"/>
      <c r="C43" s="12">
        <f>C33*Supuestos!$B$46*Supuestos!$B$47*Supuestos!$B$48*Supuestos!$B$14</f>
        <v/>
      </c>
      <c r="D43" s="12">
        <f>D33*Supuestos!$B$46*Supuestos!$B$47*Supuestos!$B$48*Supuestos!$B$14</f>
        <v/>
      </c>
      <c r="E43" s="12">
        <f>E33*Supuestos!$B$46*Supuestos!$B$47*Supuestos!$B$48*Supuestos!$B$14</f>
        <v/>
      </c>
      <c r="F43" s="12">
        <f>F33*Supuestos!$B$46*Supuestos!$B$47*Supuestos!$B$48*Supuestos!$B$14</f>
        <v/>
      </c>
      <c r="G43" s="12">
        <f>G33*Supuestos!$B$46*Supuestos!$B$47*Supuestos!$B$48*Supuestos!$B$14</f>
        <v/>
      </c>
      <c r="H43" s="12">
        <f>H33*Supuestos!$B$46*Supuestos!$B$47*Supuestos!$B$48*Supuestos!$B$14</f>
        <v/>
      </c>
      <c r="I43" s="12">
        <f>I33*Supuestos!$B$46*Supuestos!$B$47*Supuestos!$B$48*Supuestos!$B$14</f>
        <v/>
      </c>
      <c r="J43" s="12">
        <f>J33*Supuestos!$B$46*Supuestos!$B$47*Supuestos!$B$48*Supuestos!$B$14</f>
        <v/>
      </c>
      <c r="K43" s="12">
        <f>K33*Supuestos!$B$46*Supuestos!$B$47*Supuestos!$B$48*Supuestos!$B$14</f>
        <v/>
      </c>
      <c r="L43" s="12">
        <f>L33*Supuestos!$B$46*Supuestos!$B$47*Supuestos!$B$48*Supuestos!$B$14</f>
        <v/>
      </c>
      <c r="M43" s="12">
        <f>M33*Supuestos!$B$46*Supuestos!$B$47*Supuestos!$B$48*Supuestos!$B$14</f>
        <v/>
      </c>
      <c r="N43" s="12">
        <f>N33*Supuestos!$B$46*Supuestos!$B$47*Supuestos!$B$48*Supuestos!$B$14</f>
        <v/>
      </c>
      <c r="O43" s="12">
        <f>O33*Supuestos!$B$46*Supuestos!$B$47*Supuestos!$B$48*Supuestos!$B$14</f>
        <v/>
      </c>
      <c r="P43" s="12">
        <f>P33*Supuestos!$B$46*Supuestos!$B$47*Supuestos!$B$48*Supuestos!$B$14</f>
        <v/>
      </c>
      <c r="Q43" s="12">
        <f>Q33*Supuestos!$B$46*Supuestos!$B$47*Supuestos!$B$48*Supuestos!$B$14</f>
        <v/>
      </c>
      <c r="R43" s="12">
        <f>R33*Supuestos!$B$46*Supuestos!$B$47*Supuestos!$B$48*Supuestos!$B$14</f>
        <v/>
      </c>
      <c r="S43" s="12">
        <f>S33*Supuestos!$B$46*Supuestos!$B$47*Supuestos!$B$48*Supuestos!$B$14</f>
        <v/>
      </c>
      <c r="T43" s="12">
        <f>T33*Supuestos!$B$46*Supuestos!$B$47*Supuestos!$B$48*Supuestos!$B$14</f>
        <v/>
      </c>
      <c r="U43" s="12">
        <f>U33*Supuestos!$B$46*Supuestos!$B$47*Supuestos!$B$48*Supuestos!$B$14</f>
        <v/>
      </c>
      <c r="V43" s="12">
        <f>V33*Supuestos!$B$46*Supuestos!$B$47*Supuestos!$B$48*Supuestos!$B$14</f>
        <v/>
      </c>
      <c r="W43" s="12">
        <f>W33*Supuestos!$B$46*Supuestos!$B$47*Supuestos!$B$48*Supuestos!$B$14</f>
        <v/>
      </c>
      <c r="X43" s="12">
        <f>X33*Supuestos!$B$46*Supuestos!$B$47*Supuestos!$B$48*Supuestos!$B$14</f>
        <v/>
      </c>
      <c r="Y43" s="12">
        <f>Y33*Supuestos!$B$46*Supuestos!$B$47*Supuestos!$B$48*Supuestos!$B$14</f>
        <v/>
      </c>
      <c r="Z43" s="12">
        <f>Z33*Supuestos!$B$46*Supuestos!$B$47*Supuestos!$B$48*Supuestos!$B$14</f>
        <v/>
      </c>
    </row>
    <row r="44">
      <c r="A44" s="5" t="inlineStr">
        <is>
          <t>Total costos variables</t>
        </is>
      </c>
      <c r="B44" s="2" t="n"/>
      <c r="C44" s="12">
        <f>SUM(C38:C43)</f>
        <v/>
      </c>
      <c r="D44" s="12">
        <f>SUM(D38:D43)</f>
        <v/>
      </c>
      <c r="E44" s="12">
        <f>SUM(E38:E43)</f>
        <v/>
      </c>
      <c r="F44" s="12">
        <f>SUM(F38:F43)</f>
        <v/>
      </c>
      <c r="G44" s="12">
        <f>SUM(G38:G43)</f>
        <v/>
      </c>
      <c r="H44" s="12">
        <f>SUM(H38:H43)</f>
        <v/>
      </c>
      <c r="I44" s="12">
        <f>SUM(I38:I43)</f>
        <v/>
      </c>
      <c r="J44" s="12">
        <f>SUM(J38:J43)</f>
        <v/>
      </c>
      <c r="K44" s="12">
        <f>SUM(K38:K43)</f>
        <v/>
      </c>
      <c r="L44" s="12">
        <f>SUM(L38:L43)</f>
        <v/>
      </c>
      <c r="M44" s="12">
        <f>SUM(M38:M43)</f>
        <v/>
      </c>
      <c r="N44" s="12">
        <f>SUM(N38:N43)</f>
        <v/>
      </c>
      <c r="O44" s="12">
        <f>SUM(O38:O43)</f>
        <v/>
      </c>
      <c r="P44" s="12">
        <f>SUM(P38:P43)</f>
        <v/>
      </c>
      <c r="Q44" s="12">
        <f>SUM(Q38:Q43)</f>
        <v/>
      </c>
      <c r="R44" s="12">
        <f>SUM(R38:R43)</f>
        <v/>
      </c>
      <c r="S44" s="12">
        <f>SUM(S38:S43)</f>
        <v/>
      </c>
      <c r="T44" s="12">
        <f>SUM(T38:T43)</f>
        <v/>
      </c>
      <c r="U44" s="12">
        <f>SUM(U38:U43)</f>
        <v/>
      </c>
      <c r="V44" s="12">
        <f>SUM(V38:V43)</f>
        <v/>
      </c>
      <c r="W44" s="12">
        <f>SUM(W38:W43)</f>
        <v/>
      </c>
      <c r="X44" s="12">
        <f>SUM(X38:X43)</f>
        <v/>
      </c>
      <c r="Y44" s="12">
        <f>SUM(Y38:Y43)</f>
        <v/>
      </c>
      <c r="Z44" s="12">
        <f>SUM(Z38:Z43)</f>
        <v/>
      </c>
    </row>
    <row r="45">
      <c r="A45" s="41" t="inlineStr">
        <is>
          <t>MARGEN DE CONTRIBUCIÓN</t>
        </is>
      </c>
      <c r="B45" s="42" t="n"/>
      <c r="C45" s="43">
        <f>C35-C44</f>
        <v/>
      </c>
      <c r="D45" s="43">
        <f>D35-D44</f>
        <v/>
      </c>
      <c r="E45" s="43">
        <f>E35-E44</f>
        <v/>
      </c>
      <c r="F45" s="43">
        <f>F35-F44</f>
        <v/>
      </c>
      <c r="G45" s="43">
        <f>G35-G44</f>
        <v/>
      </c>
      <c r="H45" s="43">
        <f>H35-H44</f>
        <v/>
      </c>
      <c r="I45" s="43">
        <f>I35-I44</f>
        <v/>
      </c>
      <c r="J45" s="43">
        <f>J35-J44</f>
        <v/>
      </c>
      <c r="K45" s="43">
        <f>K35-K44</f>
        <v/>
      </c>
      <c r="L45" s="43">
        <f>L35-L44</f>
        <v/>
      </c>
      <c r="M45" s="43">
        <f>M35-M44</f>
        <v/>
      </c>
      <c r="N45" s="43">
        <f>N35-N44</f>
        <v/>
      </c>
      <c r="O45" s="43">
        <f>O35-O44</f>
        <v/>
      </c>
      <c r="P45" s="43">
        <f>P35-P44</f>
        <v/>
      </c>
      <c r="Q45" s="43">
        <f>Q35-Q44</f>
        <v/>
      </c>
      <c r="R45" s="43">
        <f>R35-R44</f>
        <v/>
      </c>
      <c r="S45" s="43">
        <f>S35-S44</f>
        <v/>
      </c>
      <c r="T45" s="43">
        <f>T35-T44</f>
        <v/>
      </c>
      <c r="U45" s="43">
        <f>U35-U44</f>
        <v/>
      </c>
      <c r="V45" s="43">
        <f>V35-V44</f>
        <v/>
      </c>
      <c r="W45" s="43">
        <f>W35-W44</f>
        <v/>
      </c>
      <c r="X45" s="43">
        <f>X35-X44</f>
        <v/>
      </c>
      <c r="Y45" s="43">
        <f>Y35-Y44</f>
        <v/>
      </c>
      <c r="Z45" s="43">
        <f>Z35-Z44</f>
        <v/>
      </c>
    </row>
    <row r="46">
      <c r="A46" s="5" t="inlineStr">
        <is>
          <t>Margen de contribución %</t>
        </is>
      </c>
      <c r="B46" s="2" t="n"/>
      <c r="C46" s="44">
        <f>IF(C35=0,0,C45/C35)</f>
        <v/>
      </c>
      <c r="D46" s="44">
        <f>IF(D35=0,0,D45/D35)</f>
        <v/>
      </c>
      <c r="E46" s="44">
        <f>IF(E35=0,0,E45/E35)</f>
        <v/>
      </c>
      <c r="F46" s="44">
        <f>IF(F35=0,0,F45/F35)</f>
        <v/>
      </c>
      <c r="G46" s="44">
        <f>IF(G35=0,0,G45/G35)</f>
        <v/>
      </c>
      <c r="H46" s="44">
        <f>IF(H35=0,0,H45/H35)</f>
        <v/>
      </c>
      <c r="I46" s="44">
        <f>IF(I35=0,0,I45/I35)</f>
        <v/>
      </c>
      <c r="J46" s="44">
        <f>IF(J35=0,0,J45/J35)</f>
        <v/>
      </c>
      <c r="K46" s="44">
        <f>IF(K35=0,0,K45/K35)</f>
        <v/>
      </c>
      <c r="L46" s="44">
        <f>IF(L35=0,0,L45/L35)</f>
        <v/>
      </c>
      <c r="M46" s="44">
        <f>IF(M35=0,0,M45/M35)</f>
        <v/>
      </c>
      <c r="N46" s="44">
        <f>IF(N35=0,0,N45/N35)</f>
        <v/>
      </c>
      <c r="O46" s="44">
        <f>IF(O35=0,0,O45/O35)</f>
        <v/>
      </c>
      <c r="P46" s="44">
        <f>IF(P35=0,0,P45/P35)</f>
        <v/>
      </c>
      <c r="Q46" s="44">
        <f>IF(Q35=0,0,Q45/Q35)</f>
        <v/>
      </c>
      <c r="R46" s="44">
        <f>IF(R35=0,0,R45/R35)</f>
        <v/>
      </c>
      <c r="S46" s="44">
        <f>IF(S35=0,0,S45/S35)</f>
        <v/>
      </c>
      <c r="T46" s="44">
        <f>IF(T35=0,0,T45/T35)</f>
        <v/>
      </c>
      <c r="U46" s="44">
        <f>IF(U35=0,0,U45/U35)</f>
        <v/>
      </c>
      <c r="V46" s="44">
        <f>IF(V35=0,0,V45/V35)</f>
        <v/>
      </c>
      <c r="W46" s="44">
        <f>IF(W35=0,0,W45/W35)</f>
        <v/>
      </c>
      <c r="X46" s="44">
        <f>IF(X35=0,0,X45/X35)</f>
        <v/>
      </c>
      <c r="Y46" s="44">
        <f>IF(Y35=0,0,Y45/Y35)</f>
        <v/>
      </c>
      <c r="Z46" s="44">
        <f>IF(Z35=0,0,Z45/Z35)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7" t="inlineStr">
        <is>
          <t>COSTOS FIJOS Y DE CRECIMIENTO</t>
        </is>
      </c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A49" s="5" t="inlineStr">
        <is>
          <t>Infraestructura</t>
        </is>
      </c>
      <c r="B49" s="2" t="n"/>
      <c r="C49" s="12">
        <f>(Supuestos!$B$15+Supuestos!$B$16*C5+Supuestos!$B$61*INT(C20/100)+IF(C3&gt;=Supuestos!$B$57-1,Supuestos!$B$59,0))*Supuestos!$B$14</f>
        <v/>
      </c>
      <c r="D49" s="12">
        <f>(Supuestos!$B$15+Supuestos!$B$16*D5+Supuestos!$B$61*INT(D20/100)+IF(D3&gt;=Supuestos!$B$57-1,Supuestos!$B$59,0))*Supuestos!$B$14</f>
        <v/>
      </c>
      <c r="E49" s="12">
        <f>(Supuestos!$B$15+Supuestos!$B$16*E5+Supuestos!$B$61*INT(E20/100)+IF(E3&gt;=Supuestos!$B$57-1,Supuestos!$B$59,0))*Supuestos!$B$14</f>
        <v/>
      </c>
      <c r="F49" s="12">
        <f>(Supuestos!$B$15+Supuestos!$B$16*F5+Supuestos!$B$61*INT(F20/100)+IF(F3&gt;=Supuestos!$B$57-1,Supuestos!$B$59,0))*Supuestos!$B$14</f>
        <v/>
      </c>
      <c r="G49" s="12">
        <f>(Supuestos!$B$15+Supuestos!$B$16*G5+Supuestos!$B$61*INT(G20/100)+IF(G3&gt;=Supuestos!$B$57-1,Supuestos!$B$59,0))*Supuestos!$B$14</f>
        <v/>
      </c>
      <c r="H49" s="12">
        <f>(Supuestos!$B$15+Supuestos!$B$16*H5+Supuestos!$B$61*INT(H20/100)+IF(H3&gt;=Supuestos!$B$57-1,Supuestos!$B$59,0))*Supuestos!$B$14</f>
        <v/>
      </c>
      <c r="I49" s="12">
        <f>(Supuestos!$B$15+Supuestos!$B$16*I5+Supuestos!$B$61*INT(I20/100)+IF(I3&gt;=Supuestos!$B$57-1,Supuestos!$B$59,0))*Supuestos!$B$14</f>
        <v/>
      </c>
      <c r="J49" s="12">
        <f>(Supuestos!$B$15+Supuestos!$B$16*J5+Supuestos!$B$61*INT(J20/100)+IF(J3&gt;=Supuestos!$B$57-1,Supuestos!$B$59,0))*Supuestos!$B$14</f>
        <v/>
      </c>
      <c r="K49" s="12">
        <f>(Supuestos!$B$15+Supuestos!$B$16*K5+Supuestos!$B$61*INT(K20/100)+IF(K3&gt;=Supuestos!$B$57-1,Supuestos!$B$59,0))*Supuestos!$B$14</f>
        <v/>
      </c>
      <c r="L49" s="12">
        <f>(Supuestos!$B$15+Supuestos!$B$16*L5+Supuestos!$B$61*INT(L20/100)+IF(L3&gt;=Supuestos!$B$57-1,Supuestos!$B$59,0))*Supuestos!$B$14</f>
        <v/>
      </c>
      <c r="M49" s="12">
        <f>(Supuestos!$B$15+Supuestos!$B$16*M5+Supuestos!$B$61*INT(M20/100)+IF(M3&gt;=Supuestos!$B$57-1,Supuestos!$B$59,0))*Supuestos!$B$14</f>
        <v/>
      </c>
      <c r="N49" s="12">
        <f>(Supuestos!$B$15+Supuestos!$B$16*N5+Supuestos!$B$61*INT(N20/100)+IF(N3&gt;=Supuestos!$B$57-1,Supuestos!$B$59,0))*Supuestos!$B$14</f>
        <v/>
      </c>
      <c r="O49" s="12">
        <f>(Supuestos!$B$15+Supuestos!$B$16*O5+Supuestos!$B$61*INT(O20/100)+IF(O3&gt;=Supuestos!$B$57-1,Supuestos!$B$59,0))*Supuestos!$B$14</f>
        <v/>
      </c>
      <c r="P49" s="12">
        <f>(Supuestos!$B$15+Supuestos!$B$16*P5+Supuestos!$B$61*INT(P20/100)+IF(P3&gt;=Supuestos!$B$57-1,Supuestos!$B$59,0))*Supuestos!$B$14</f>
        <v/>
      </c>
      <c r="Q49" s="12">
        <f>(Supuestos!$B$15+Supuestos!$B$16*Q5+Supuestos!$B$61*INT(Q20/100)+IF(Q3&gt;=Supuestos!$B$57-1,Supuestos!$B$59,0))*Supuestos!$B$14</f>
        <v/>
      </c>
      <c r="R49" s="12">
        <f>(Supuestos!$B$15+Supuestos!$B$16*R5+Supuestos!$B$61*INT(R20/100)+IF(R3&gt;=Supuestos!$B$57-1,Supuestos!$B$59,0))*Supuestos!$B$14</f>
        <v/>
      </c>
      <c r="S49" s="12">
        <f>(Supuestos!$B$15+Supuestos!$B$16*S5+Supuestos!$B$61*INT(S20/100)+IF(S3&gt;=Supuestos!$B$57-1,Supuestos!$B$59,0))*Supuestos!$B$14</f>
        <v/>
      </c>
      <c r="T49" s="12">
        <f>(Supuestos!$B$15+Supuestos!$B$16*T5+Supuestos!$B$61*INT(T20/100)+IF(T3&gt;=Supuestos!$B$57-1,Supuestos!$B$59,0))*Supuestos!$B$14</f>
        <v/>
      </c>
      <c r="U49" s="12">
        <f>(Supuestos!$B$15+Supuestos!$B$16*U5+Supuestos!$B$61*INT(U20/100)+IF(U3&gt;=Supuestos!$B$57-1,Supuestos!$B$59,0))*Supuestos!$B$14</f>
        <v/>
      </c>
      <c r="V49" s="12">
        <f>(Supuestos!$B$15+Supuestos!$B$16*V5+Supuestos!$B$61*INT(V20/100)+IF(V3&gt;=Supuestos!$B$57-1,Supuestos!$B$59,0))*Supuestos!$B$14</f>
        <v/>
      </c>
      <c r="W49" s="12">
        <f>(Supuestos!$B$15+Supuestos!$B$16*W5+Supuestos!$B$61*INT(W20/100)+IF(W3&gt;=Supuestos!$B$57-1,Supuestos!$B$59,0))*Supuestos!$B$14</f>
        <v/>
      </c>
      <c r="X49" s="12">
        <f>(Supuestos!$B$15+Supuestos!$B$16*X5+Supuestos!$B$61*INT(X20/100)+IF(X3&gt;=Supuestos!$B$57-1,Supuestos!$B$59,0))*Supuestos!$B$14</f>
        <v/>
      </c>
      <c r="Y49" s="12">
        <f>(Supuestos!$B$15+Supuestos!$B$16*Y5+Supuestos!$B$61*INT(Y20/100)+IF(Y3&gt;=Supuestos!$B$57-1,Supuestos!$B$59,0))*Supuestos!$B$14</f>
        <v/>
      </c>
      <c r="Z49" s="12">
        <f>(Supuestos!$B$15+Supuestos!$B$16*Z5+Supuestos!$B$61*INT(Z20/100)+IF(Z3&gt;=Supuestos!$B$57-1,Supuestos!$B$59,0))*Supuestos!$B$14</f>
        <v/>
      </c>
    </row>
    <row r="50">
      <c r="A50" s="5" t="inlineStr">
        <is>
          <t>Contador</t>
        </is>
      </c>
      <c r="B50" s="2" t="n"/>
      <c r="C50" s="8">
        <f>Supuestos!$B$36</f>
        <v/>
      </c>
      <c r="D50" s="8">
        <f>Supuestos!$B$36</f>
        <v/>
      </c>
      <c r="E50" s="8">
        <f>Supuestos!$B$36</f>
        <v/>
      </c>
      <c r="F50" s="8">
        <f>Supuestos!$B$36</f>
        <v/>
      </c>
      <c r="G50" s="8">
        <f>Supuestos!$B$36</f>
        <v/>
      </c>
      <c r="H50" s="8">
        <f>Supuestos!$B$36</f>
        <v/>
      </c>
      <c r="I50" s="8">
        <f>Supuestos!$B$36</f>
        <v/>
      </c>
      <c r="J50" s="8">
        <f>Supuestos!$B$36</f>
        <v/>
      </c>
      <c r="K50" s="8">
        <f>Supuestos!$B$36</f>
        <v/>
      </c>
      <c r="L50" s="8">
        <f>Supuestos!$B$36</f>
        <v/>
      </c>
      <c r="M50" s="8">
        <f>Supuestos!$B$36</f>
        <v/>
      </c>
      <c r="N50" s="8">
        <f>Supuestos!$B$36</f>
        <v/>
      </c>
      <c r="O50" s="8">
        <f>Supuestos!$B$36</f>
        <v/>
      </c>
      <c r="P50" s="8">
        <f>Supuestos!$B$36</f>
        <v/>
      </c>
      <c r="Q50" s="8">
        <f>Supuestos!$B$36</f>
        <v/>
      </c>
      <c r="R50" s="8">
        <f>Supuestos!$B$36</f>
        <v/>
      </c>
      <c r="S50" s="8">
        <f>Supuestos!$B$36</f>
        <v/>
      </c>
      <c r="T50" s="8">
        <f>Supuestos!$B$36</f>
        <v/>
      </c>
      <c r="U50" s="8">
        <f>Supuestos!$B$36</f>
        <v/>
      </c>
      <c r="V50" s="8">
        <f>Supuestos!$B$36</f>
        <v/>
      </c>
      <c r="W50" s="8">
        <f>Supuestos!$B$36</f>
        <v/>
      </c>
      <c r="X50" s="8">
        <f>Supuestos!$B$36</f>
        <v/>
      </c>
      <c r="Y50" s="8">
        <f>Supuestos!$B$36</f>
        <v/>
      </c>
      <c r="Z50" s="8">
        <f>Supuestos!$B$36</f>
        <v/>
      </c>
    </row>
    <row r="51">
      <c r="A51" s="5" t="inlineStr">
        <is>
          <t>Adquisición de médicos</t>
        </is>
      </c>
      <c r="B51" s="2" t="n"/>
      <c r="C51" s="12">
        <f>C8*Supuestos!$B$39+C18*Supuestos!$B$60</f>
        <v/>
      </c>
      <c r="D51" s="12">
        <f>D8*Supuestos!$B$39+D18*Supuestos!$B$60</f>
        <v/>
      </c>
      <c r="E51" s="12">
        <f>E8*Supuestos!$B$39+E18*Supuestos!$B$60</f>
        <v/>
      </c>
      <c r="F51" s="12">
        <f>F8*Supuestos!$B$39+F18*Supuestos!$B$60</f>
        <v/>
      </c>
      <c r="G51" s="12">
        <f>G8*Supuestos!$B$39+G18*Supuestos!$B$60</f>
        <v/>
      </c>
      <c r="H51" s="12">
        <f>H8*Supuestos!$B$39+H18*Supuestos!$B$60</f>
        <v/>
      </c>
      <c r="I51" s="12">
        <f>I8*Supuestos!$B$39+I18*Supuestos!$B$60</f>
        <v/>
      </c>
      <c r="J51" s="12">
        <f>J8*Supuestos!$B$39+J18*Supuestos!$B$60</f>
        <v/>
      </c>
      <c r="K51" s="12">
        <f>K8*Supuestos!$B$39+K18*Supuestos!$B$60</f>
        <v/>
      </c>
      <c r="L51" s="12">
        <f>L8*Supuestos!$B$39+L18*Supuestos!$B$60</f>
        <v/>
      </c>
      <c r="M51" s="12">
        <f>M8*Supuestos!$B$39+M18*Supuestos!$B$60</f>
        <v/>
      </c>
      <c r="N51" s="12">
        <f>N8*Supuestos!$B$39+N18*Supuestos!$B$60</f>
        <v/>
      </c>
      <c r="O51" s="12">
        <f>O8*Supuestos!$B$39+O18*Supuestos!$B$60</f>
        <v/>
      </c>
      <c r="P51" s="12">
        <f>P8*Supuestos!$B$39+P18*Supuestos!$B$60</f>
        <v/>
      </c>
      <c r="Q51" s="12">
        <f>Q8*Supuestos!$B$39+Q18*Supuestos!$B$60</f>
        <v/>
      </c>
      <c r="R51" s="12">
        <f>R8*Supuestos!$B$39+R18*Supuestos!$B$60</f>
        <v/>
      </c>
      <c r="S51" s="12">
        <f>S8*Supuestos!$B$39+S18*Supuestos!$B$60</f>
        <v/>
      </c>
      <c r="T51" s="12">
        <f>T8*Supuestos!$B$39+T18*Supuestos!$B$60</f>
        <v/>
      </c>
      <c r="U51" s="12">
        <f>U8*Supuestos!$B$39+U18*Supuestos!$B$60</f>
        <v/>
      </c>
      <c r="V51" s="12">
        <f>V8*Supuestos!$B$39+V18*Supuestos!$B$60</f>
        <v/>
      </c>
      <c r="W51" s="12">
        <f>W8*Supuestos!$B$39+W18*Supuestos!$B$60</f>
        <v/>
      </c>
      <c r="X51" s="12">
        <f>X8*Supuestos!$B$39+X18*Supuestos!$B$60</f>
        <v/>
      </c>
      <c r="Y51" s="12">
        <f>Y8*Supuestos!$B$39+Y18*Supuestos!$B$60</f>
        <v/>
      </c>
      <c r="Z51" s="12">
        <f>Z8*Supuestos!$B$39+Z18*Supuestos!$B$60</f>
        <v/>
      </c>
    </row>
    <row r="52">
      <c r="A52" s="5" t="inlineStr">
        <is>
          <t>Páginas a revisar (migración asistida)</t>
        </is>
      </c>
      <c r="B52" s="2" t="n"/>
      <c r="C52" s="45">
        <f>C33*Supuestos!$B$46*Supuestos!$B$47</f>
        <v/>
      </c>
      <c r="D52" s="45">
        <f>D33*Supuestos!$B$46*Supuestos!$B$47</f>
        <v/>
      </c>
      <c r="E52" s="45">
        <f>E33*Supuestos!$B$46*Supuestos!$B$47</f>
        <v/>
      </c>
      <c r="F52" s="45">
        <f>F33*Supuestos!$B$46*Supuestos!$B$47</f>
        <v/>
      </c>
      <c r="G52" s="45">
        <f>G33*Supuestos!$B$46*Supuestos!$B$47</f>
        <v/>
      </c>
      <c r="H52" s="45">
        <f>H33*Supuestos!$B$46*Supuestos!$B$47</f>
        <v/>
      </c>
      <c r="I52" s="45">
        <f>I33*Supuestos!$B$46*Supuestos!$B$47</f>
        <v/>
      </c>
      <c r="J52" s="45">
        <f>J33*Supuestos!$B$46*Supuestos!$B$47</f>
        <v/>
      </c>
      <c r="K52" s="45">
        <f>K33*Supuestos!$B$46*Supuestos!$B$47</f>
        <v/>
      </c>
      <c r="L52" s="45">
        <f>L33*Supuestos!$B$46*Supuestos!$B$47</f>
        <v/>
      </c>
      <c r="M52" s="45">
        <f>M33*Supuestos!$B$46*Supuestos!$B$47</f>
        <v/>
      </c>
      <c r="N52" s="45">
        <f>N33*Supuestos!$B$46*Supuestos!$B$47</f>
        <v/>
      </c>
      <c r="O52" s="45">
        <f>O33*Supuestos!$B$46*Supuestos!$B$47</f>
        <v/>
      </c>
      <c r="P52" s="45">
        <f>P33*Supuestos!$B$46*Supuestos!$B$47</f>
        <v/>
      </c>
      <c r="Q52" s="45">
        <f>Q33*Supuestos!$B$46*Supuestos!$B$47</f>
        <v/>
      </c>
      <c r="R52" s="45">
        <f>R33*Supuestos!$B$46*Supuestos!$B$47</f>
        <v/>
      </c>
      <c r="S52" s="45">
        <f>S33*Supuestos!$B$46*Supuestos!$B$47</f>
        <v/>
      </c>
      <c r="T52" s="45">
        <f>T33*Supuestos!$B$46*Supuestos!$B$47</f>
        <v/>
      </c>
      <c r="U52" s="45">
        <f>U33*Supuestos!$B$46*Supuestos!$B$47</f>
        <v/>
      </c>
      <c r="V52" s="45">
        <f>V33*Supuestos!$B$46*Supuestos!$B$47</f>
        <v/>
      </c>
      <c r="W52" s="45">
        <f>W33*Supuestos!$B$46*Supuestos!$B$47</f>
        <v/>
      </c>
      <c r="X52" s="45">
        <f>X33*Supuestos!$B$46*Supuestos!$B$47</f>
        <v/>
      </c>
      <c r="Y52" s="45">
        <f>Y33*Supuestos!$B$46*Supuestos!$B$47</f>
        <v/>
      </c>
      <c r="Z52" s="45">
        <f>Z33*Supuestos!$B$46*Supuestos!$B$47</f>
        <v/>
      </c>
    </row>
    <row r="53">
      <c r="A53" s="5" t="inlineStr">
        <is>
          <t>Personas de migración</t>
        </is>
      </c>
      <c r="B53" s="2" t="n"/>
      <c r="C53" s="45">
        <f>IF(C3&gt;=Supuestos!$B$57-Supuestos!$B$52,MAX(1,ROUNDUP(C52*Supuestos!$B$49/60/Supuestos!$B$51,0)),ROUNDUP(C52*Supuestos!$B$49/60/Supuestos!$B$51,0))</f>
        <v/>
      </c>
      <c r="D53" s="45">
        <f>IF(D3&gt;=Supuestos!$B$57-Supuestos!$B$52,MAX(1,ROUNDUP(D52*Supuestos!$B$49/60/Supuestos!$B$51,0)),ROUNDUP(D52*Supuestos!$B$49/60/Supuestos!$B$51,0))</f>
        <v/>
      </c>
      <c r="E53" s="45">
        <f>IF(E3&gt;=Supuestos!$B$57-Supuestos!$B$52,MAX(1,ROUNDUP(E52*Supuestos!$B$49/60/Supuestos!$B$51,0)),ROUNDUP(E52*Supuestos!$B$49/60/Supuestos!$B$51,0))</f>
        <v/>
      </c>
      <c r="F53" s="45">
        <f>IF(F3&gt;=Supuestos!$B$57-Supuestos!$B$52,MAX(1,ROUNDUP(F52*Supuestos!$B$49/60/Supuestos!$B$51,0)),ROUNDUP(F52*Supuestos!$B$49/60/Supuestos!$B$51,0))</f>
        <v/>
      </c>
      <c r="G53" s="45">
        <f>IF(G3&gt;=Supuestos!$B$57-Supuestos!$B$52,MAX(1,ROUNDUP(G52*Supuestos!$B$49/60/Supuestos!$B$51,0)),ROUNDUP(G52*Supuestos!$B$49/60/Supuestos!$B$51,0))</f>
        <v/>
      </c>
      <c r="H53" s="45">
        <f>IF(H3&gt;=Supuestos!$B$57-Supuestos!$B$52,MAX(1,ROUNDUP(H52*Supuestos!$B$49/60/Supuestos!$B$51,0)),ROUNDUP(H52*Supuestos!$B$49/60/Supuestos!$B$51,0))</f>
        <v/>
      </c>
      <c r="I53" s="45">
        <f>IF(I3&gt;=Supuestos!$B$57-Supuestos!$B$52,MAX(1,ROUNDUP(I52*Supuestos!$B$49/60/Supuestos!$B$51,0)),ROUNDUP(I52*Supuestos!$B$49/60/Supuestos!$B$51,0))</f>
        <v/>
      </c>
      <c r="J53" s="45">
        <f>IF(J3&gt;=Supuestos!$B$57-Supuestos!$B$52,MAX(1,ROUNDUP(J52*Supuestos!$B$49/60/Supuestos!$B$51,0)),ROUNDUP(J52*Supuestos!$B$49/60/Supuestos!$B$51,0))</f>
        <v/>
      </c>
      <c r="K53" s="45">
        <f>IF(K3&gt;=Supuestos!$B$57-Supuestos!$B$52,MAX(1,ROUNDUP(K52*Supuestos!$B$49/60/Supuestos!$B$51,0)),ROUNDUP(K52*Supuestos!$B$49/60/Supuestos!$B$51,0))</f>
        <v/>
      </c>
      <c r="L53" s="45">
        <f>IF(L3&gt;=Supuestos!$B$57-Supuestos!$B$52,MAX(1,ROUNDUP(L52*Supuestos!$B$49/60/Supuestos!$B$51,0)),ROUNDUP(L52*Supuestos!$B$49/60/Supuestos!$B$51,0))</f>
        <v/>
      </c>
      <c r="M53" s="45">
        <f>IF(M3&gt;=Supuestos!$B$57-Supuestos!$B$52,MAX(1,ROUNDUP(M52*Supuestos!$B$49/60/Supuestos!$B$51,0)),ROUNDUP(M52*Supuestos!$B$49/60/Supuestos!$B$51,0))</f>
        <v/>
      </c>
      <c r="N53" s="45">
        <f>IF(N3&gt;=Supuestos!$B$57-Supuestos!$B$52,MAX(1,ROUNDUP(N52*Supuestos!$B$49/60/Supuestos!$B$51,0)),ROUNDUP(N52*Supuestos!$B$49/60/Supuestos!$B$51,0))</f>
        <v/>
      </c>
      <c r="O53" s="45">
        <f>IF(O3&gt;=Supuestos!$B$57-Supuestos!$B$52,MAX(1,ROUNDUP(O52*Supuestos!$B$49/60/Supuestos!$B$51,0)),ROUNDUP(O52*Supuestos!$B$49/60/Supuestos!$B$51,0))</f>
        <v/>
      </c>
      <c r="P53" s="45">
        <f>IF(P3&gt;=Supuestos!$B$57-Supuestos!$B$52,MAX(1,ROUNDUP(P52*Supuestos!$B$49/60/Supuestos!$B$51,0)),ROUNDUP(P52*Supuestos!$B$49/60/Supuestos!$B$51,0))</f>
        <v/>
      </c>
      <c r="Q53" s="45">
        <f>IF(Q3&gt;=Supuestos!$B$57-Supuestos!$B$52,MAX(1,ROUNDUP(Q52*Supuestos!$B$49/60/Supuestos!$B$51,0)),ROUNDUP(Q52*Supuestos!$B$49/60/Supuestos!$B$51,0))</f>
        <v/>
      </c>
      <c r="R53" s="45">
        <f>IF(R3&gt;=Supuestos!$B$57-Supuestos!$B$52,MAX(1,ROUNDUP(R52*Supuestos!$B$49/60/Supuestos!$B$51,0)),ROUNDUP(R52*Supuestos!$B$49/60/Supuestos!$B$51,0))</f>
        <v/>
      </c>
      <c r="S53" s="45">
        <f>IF(S3&gt;=Supuestos!$B$57-Supuestos!$B$52,MAX(1,ROUNDUP(S52*Supuestos!$B$49/60/Supuestos!$B$51,0)),ROUNDUP(S52*Supuestos!$B$49/60/Supuestos!$B$51,0))</f>
        <v/>
      </c>
      <c r="T53" s="45">
        <f>IF(T3&gt;=Supuestos!$B$57-Supuestos!$B$52,MAX(1,ROUNDUP(T52*Supuestos!$B$49/60/Supuestos!$B$51,0)),ROUNDUP(T52*Supuestos!$B$49/60/Supuestos!$B$51,0))</f>
        <v/>
      </c>
      <c r="U53" s="45">
        <f>IF(U3&gt;=Supuestos!$B$57-Supuestos!$B$52,MAX(1,ROUNDUP(U52*Supuestos!$B$49/60/Supuestos!$B$51,0)),ROUNDUP(U52*Supuestos!$B$49/60/Supuestos!$B$51,0))</f>
        <v/>
      </c>
      <c r="V53" s="45">
        <f>IF(V3&gt;=Supuestos!$B$57-Supuestos!$B$52,MAX(1,ROUNDUP(V52*Supuestos!$B$49/60/Supuestos!$B$51,0)),ROUNDUP(V52*Supuestos!$B$49/60/Supuestos!$B$51,0))</f>
        <v/>
      </c>
      <c r="W53" s="45">
        <f>IF(W3&gt;=Supuestos!$B$57-Supuestos!$B$52,MAX(1,ROUNDUP(W52*Supuestos!$B$49/60/Supuestos!$B$51,0)),ROUNDUP(W52*Supuestos!$B$49/60/Supuestos!$B$51,0))</f>
        <v/>
      </c>
      <c r="X53" s="45">
        <f>IF(X3&gt;=Supuestos!$B$57-Supuestos!$B$52,MAX(1,ROUNDUP(X52*Supuestos!$B$49/60/Supuestos!$B$51,0)),ROUNDUP(X52*Supuestos!$B$49/60/Supuestos!$B$51,0))</f>
        <v/>
      </c>
      <c r="Y53" s="45">
        <f>IF(Y3&gt;=Supuestos!$B$57-Supuestos!$B$52,MAX(1,ROUNDUP(Y52*Supuestos!$B$49/60/Supuestos!$B$51,0)),ROUNDUP(Y52*Supuestos!$B$49/60/Supuestos!$B$51,0))</f>
        <v/>
      </c>
      <c r="Z53" s="45">
        <f>IF(Z3&gt;=Supuestos!$B$57-Supuestos!$B$52,MAX(1,ROUNDUP(Z52*Supuestos!$B$49/60/Supuestos!$B$51,0)),ROUNDUP(Z52*Supuestos!$B$49/60/Supuestos!$B$51,0))</f>
        <v/>
      </c>
    </row>
    <row r="54">
      <c r="A54" s="5" t="inlineStr">
        <is>
          <t>Personal de migración + capacitación</t>
        </is>
      </c>
      <c r="B54" s="2" t="n"/>
      <c r="C54" s="12">
        <f>C53*Supuestos!$B$50+MAX(0,C53-0)*Supuestos!$B$53</f>
        <v/>
      </c>
      <c r="D54" s="12">
        <f>D53*Supuestos!$B$50+MAX(0,D53-C53)*Supuestos!$B$53</f>
        <v/>
      </c>
      <c r="E54" s="12">
        <f>E53*Supuestos!$B$50+MAX(0,E53-D53)*Supuestos!$B$53</f>
        <v/>
      </c>
      <c r="F54" s="12">
        <f>F53*Supuestos!$B$50+MAX(0,F53-E53)*Supuestos!$B$53</f>
        <v/>
      </c>
      <c r="G54" s="12">
        <f>G53*Supuestos!$B$50+MAX(0,G53-F53)*Supuestos!$B$53</f>
        <v/>
      </c>
      <c r="H54" s="12">
        <f>H53*Supuestos!$B$50+MAX(0,H53-G53)*Supuestos!$B$53</f>
        <v/>
      </c>
      <c r="I54" s="12">
        <f>I53*Supuestos!$B$50+MAX(0,I53-H53)*Supuestos!$B$53</f>
        <v/>
      </c>
      <c r="J54" s="12">
        <f>J53*Supuestos!$B$50+MAX(0,J53-I53)*Supuestos!$B$53</f>
        <v/>
      </c>
      <c r="K54" s="12">
        <f>K53*Supuestos!$B$50+MAX(0,K53-J53)*Supuestos!$B$53</f>
        <v/>
      </c>
      <c r="L54" s="12">
        <f>L53*Supuestos!$B$50+MAX(0,L53-K53)*Supuestos!$B$53</f>
        <v/>
      </c>
      <c r="M54" s="12">
        <f>M53*Supuestos!$B$50+MAX(0,M53-L53)*Supuestos!$B$53</f>
        <v/>
      </c>
      <c r="N54" s="12">
        <f>N53*Supuestos!$B$50+MAX(0,N53-M53)*Supuestos!$B$53</f>
        <v/>
      </c>
      <c r="O54" s="12">
        <f>O53*Supuestos!$B$50+MAX(0,O53-N53)*Supuestos!$B$53</f>
        <v/>
      </c>
      <c r="P54" s="12">
        <f>P53*Supuestos!$B$50+MAX(0,P53-O53)*Supuestos!$B$53</f>
        <v/>
      </c>
      <c r="Q54" s="12">
        <f>Q53*Supuestos!$B$50+MAX(0,Q53-P53)*Supuestos!$B$53</f>
        <v/>
      </c>
      <c r="R54" s="12">
        <f>R53*Supuestos!$B$50+MAX(0,R53-Q53)*Supuestos!$B$53</f>
        <v/>
      </c>
      <c r="S54" s="12">
        <f>S53*Supuestos!$B$50+MAX(0,S53-R53)*Supuestos!$B$53</f>
        <v/>
      </c>
      <c r="T54" s="12">
        <f>T53*Supuestos!$B$50+MAX(0,T53-S53)*Supuestos!$B$53</f>
        <v/>
      </c>
      <c r="U54" s="12">
        <f>U53*Supuestos!$B$50+MAX(0,U53-T53)*Supuestos!$B$53</f>
        <v/>
      </c>
      <c r="V54" s="12">
        <f>V53*Supuestos!$B$50+MAX(0,V53-U53)*Supuestos!$B$53</f>
        <v/>
      </c>
      <c r="W54" s="12">
        <f>W53*Supuestos!$B$50+MAX(0,W53-V53)*Supuestos!$B$53</f>
        <v/>
      </c>
      <c r="X54" s="12">
        <f>X53*Supuestos!$B$50+MAX(0,X53-W53)*Supuestos!$B$53</f>
        <v/>
      </c>
      <c r="Y54" s="12">
        <f>Y53*Supuestos!$B$50+MAX(0,Y53-X53)*Supuestos!$B$53</f>
        <v/>
      </c>
      <c r="Z54" s="12">
        <f>Z53*Supuestos!$B$50+MAX(0,Z53-Y53)*Supuestos!$B$53</f>
        <v/>
      </c>
    </row>
    <row r="55">
      <c r="A55" s="5" t="inlineStr">
        <is>
          <t>Sueldo de Víctor</t>
        </is>
      </c>
      <c r="B55" s="2" t="n"/>
      <c r="C55" s="8">
        <f>Supuestos!$B$40</f>
        <v/>
      </c>
      <c r="D55" s="8">
        <f>Supuestos!$B$40</f>
        <v/>
      </c>
      <c r="E55" s="8">
        <f>Supuestos!$B$40</f>
        <v/>
      </c>
      <c r="F55" s="8">
        <f>Supuestos!$B$40</f>
        <v/>
      </c>
      <c r="G55" s="8">
        <f>Supuestos!$B$40</f>
        <v/>
      </c>
      <c r="H55" s="8">
        <f>Supuestos!$B$40</f>
        <v/>
      </c>
      <c r="I55" s="8">
        <f>Supuestos!$B$40</f>
        <v/>
      </c>
      <c r="J55" s="8">
        <f>Supuestos!$B$40</f>
        <v/>
      </c>
      <c r="K55" s="8">
        <f>Supuestos!$B$40</f>
        <v/>
      </c>
      <c r="L55" s="8">
        <f>Supuestos!$B$40</f>
        <v/>
      </c>
      <c r="M55" s="8">
        <f>Supuestos!$B$40</f>
        <v/>
      </c>
      <c r="N55" s="8">
        <f>Supuestos!$B$40</f>
        <v/>
      </c>
      <c r="O55" s="8">
        <f>Supuestos!$B$40</f>
        <v/>
      </c>
      <c r="P55" s="8">
        <f>Supuestos!$B$40</f>
        <v/>
      </c>
      <c r="Q55" s="8">
        <f>Supuestos!$B$40</f>
        <v/>
      </c>
      <c r="R55" s="8">
        <f>Supuestos!$B$40</f>
        <v/>
      </c>
      <c r="S55" s="8">
        <f>Supuestos!$B$40</f>
        <v/>
      </c>
      <c r="T55" s="8">
        <f>Supuestos!$B$40</f>
        <v/>
      </c>
      <c r="U55" s="8">
        <f>Supuestos!$B$40</f>
        <v/>
      </c>
      <c r="V55" s="8">
        <f>Supuestos!$B$40</f>
        <v/>
      </c>
      <c r="W55" s="8">
        <f>Supuestos!$B$40</f>
        <v/>
      </c>
      <c r="X55" s="8">
        <f>Supuestos!$B$40</f>
        <v/>
      </c>
      <c r="Y55" s="8">
        <f>Supuestos!$B$40</f>
        <v/>
      </c>
      <c r="Z55" s="8">
        <f>Supuestos!$B$40</f>
        <v/>
      </c>
    </row>
    <row r="56">
      <c r="A56" s="5" t="inlineStr">
        <is>
          <t>Pagos únicos (abogado, prueba de penetración)</t>
        </is>
      </c>
      <c r="B56" s="2" t="n"/>
      <c r="C56" s="12">
        <f>IF(C3=1,Supuestos!$B$41,0)+IF(C3=Supuestos!$B$43,Supuestos!$B$42,0)</f>
        <v/>
      </c>
      <c r="D56" s="12">
        <f>IF(D3=1,Supuestos!$B$41,0)+IF(D3=Supuestos!$B$43,Supuestos!$B$42,0)</f>
        <v/>
      </c>
      <c r="E56" s="12">
        <f>IF(E3=1,Supuestos!$B$41,0)+IF(E3=Supuestos!$B$43,Supuestos!$B$42,0)</f>
        <v/>
      </c>
      <c r="F56" s="12">
        <f>IF(F3=1,Supuestos!$B$41,0)+IF(F3=Supuestos!$B$43,Supuestos!$B$42,0)</f>
        <v/>
      </c>
      <c r="G56" s="12">
        <f>IF(G3=1,Supuestos!$B$41,0)+IF(G3=Supuestos!$B$43,Supuestos!$B$42,0)</f>
        <v/>
      </c>
      <c r="H56" s="12">
        <f>IF(H3=1,Supuestos!$B$41,0)+IF(H3=Supuestos!$B$43,Supuestos!$B$42,0)</f>
        <v/>
      </c>
      <c r="I56" s="12">
        <f>IF(I3=1,Supuestos!$B$41,0)+IF(I3=Supuestos!$B$43,Supuestos!$B$42,0)</f>
        <v/>
      </c>
      <c r="J56" s="12">
        <f>IF(J3=1,Supuestos!$B$41,0)+IF(J3=Supuestos!$B$43,Supuestos!$B$42,0)</f>
        <v/>
      </c>
      <c r="K56" s="12">
        <f>IF(K3=1,Supuestos!$B$41,0)+IF(K3=Supuestos!$B$43,Supuestos!$B$42,0)</f>
        <v/>
      </c>
      <c r="L56" s="12">
        <f>IF(L3=1,Supuestos!$B$41,0)+IF(L3=Supuestos!$B$43,Supuestos!$B$42,0)</f>
        <v/>
      </c>
      <c r="M56" s="12">
        <f>IF(M3=1,Supuestos!$B$41,0)+IF(M3=Supuestos!$B$43,Supuestos!$B$42,0)</f>
        <v/>
      </c>
      <c r="N56" s="12">
        <f>IF(N3=1,Supuestos!$B$41,0)+IF(N3=Supuestos!$B$43,Supuestos!$B$42,0)</f>
        <v/>
      </c>
      <c r="O56" s="12">
        <f>IF(O3=1,Supuestos!$B$41,0)+IF(O3=Supuestos!$B$43,Supuestos!$B$42,0)</f>
        <v/>
      </c>
      <c r="P56" s="12">
        <f>IF(P3=1,Supuestos!$B$41,0)+IF(P3=Supuestos!$B$43,Supuestos!$B$42,0)</f>
        <v/>
      </c>
      <c r="Q56" s="12">
        <f>IF(Q3=1,Supuestos!$B$41,0)+IF(Q3=Supuestos!$B$43,Supuestos!$B$42,0)</f>
        <v/>
      </c>
      <c r="R56" s="12">
        <f>IF(R3=1,Supuestos!$B$41,0)+IF(R3=Supuestos!$B$43,Supuestos!$B$42,0)</f>
        <v/>
      </c>
      <c r="S56" s="12">
        <f>IF(S3=1,Supuestos!$B$41,0)+IF(S3=Supuestos!$B$43,Supuestos!$B$42,0)</f>
        <v/>
      </c>
      <c r="T56" s="12">
        <f>IF(T3=1,Supuestos!$B$41,0)+IF(T3=Supuestos!$B$43,Supuestos!$B$42,0)</f>
        <v/>
      </c>
      <c r="U56" s="12">
        <f>IF(U3=1,Supuestos!$B$41,0)+IF(U3=Supuestos!$B$43,Supuestos!$B$42,0)</f>
        <v/>
      </c>
      <c r="V56" s="12">
        <f>IF(V3=1,Supuestos!$B$41,0)+IF(V3=Supuestos!$B$43,Supuestos!$B$42,0)</f>
        <v/>
      </c>
      <c r="W56" s="12">
        <f>IF(W3=1,Supuestos!$B$41,0)+IF(W3=Supuestos!$B$43,Supuestos!$B$42,0)</f>
        <v/>
      </c>
      <c r="X56" s="12">
        <f>IF(X3=1,Supuestos!$B$41,0)+IF(X3=Supuestos!$B$43,Supuestos!$B$42,0)</f>
        <v/>
      </c>
      <c r="Y56" s="12">
        <f>IF(Y3=1,Supuestos!$B$41,0)+IF(Y3=Supuestos!$B$43,Supuestos!$B$42,0)</f>
        <v/>
      </c>
      <c r="Z56" s="12">
        <f>IF(Z3=1,Supuestos!$B$41,0)+IF(Z3=Supuestos!$B$43,Supuestos!$B$42,0)</f>
        <v/>
      </c>
    </row>
    <row r="57">
      <c r="A57" s="5" t="inlineStr">
        <is>
          <t>Total fijos y crecimiento</t>
        </is>
      </c>
      <c r="B57" s="2" t="n"/>
      <c r="C57" s="12">
        <f>C49+C50+C51+C54+C55+C56</f>
        <v/>
      </c>
      <c r="D57" s="12">
        <f>D49+D50+D51+D54+D55+D56</f>
        <v/>
      </c>
      <c r="E57" s="12">
        <f>E49+E50+E51+E54+E55+E56</f>
        <v/>
      </c>
      <c r="F57" s="12">
        <f>F49+F50+F51+F54+F55+F56</f>
        <v/>
      </c>
      <c r="G57" s="12">
        <f>G49+G50+G51+G54+G55+G56</f>
        <v/>
      </c>
      <c r="H57" s="12">
        <f>H49+H50+H51+H54+H55+H56</f>
        <v/>
      </c>
      <c r="I57" s="12">
        <f>I49+I50+I51+I54+I55+I56</f>
        <v/>
      </c>
      <c r="J57" s="12">
        <f>J49+J50+J51+J54+J55+J56</f>
        <v/>
      </c>
      <c r="K57" s="12">
        <f>K49+K50+K51+K54+K55+K56</f>
        <v/>
      </c>
      <c r="L57" s="12">
        <f>L49+L50+L51+L54+L55+L56</f>
        <v/>
      </c>
      <c r="M57" s="12">
        <f>M49+M50+M51+M54+M55+M56</f>
        <v/>
      </c>
      <c r="N57" s="12">
        <f>N49+N50+N51+N54+N55+N56</f>
        <v/>
      </c>
      <c r="O57" s="12">
        <f>O49+O50+O51+O54+O55+O56</f>
        <v/>
      </c>
      <c r="P57" s="12">
        <f>P49+P50+P51+P54+P55+P56</f>
        <v/>
      </c>
      <c r="Q57" s="12">
        <f>Q49+Q50+Q51+Q54+Q55+Q56</f>
        <v/>
      </c>
      <c r="R57" s="12">
        <f>R49+R50+R51+R54+R55+R56</f>
        <v/>
      </c>
      <c r="S57" s="12">
        <f>S49+S50+S51+S54+S55+S56</f>
        <v/>
      </c>
      <c r="T57" s="12">
        <f>T49+T50+T51+T54+T55+T56</f>
        <v/>
      </c>
      <c r="U57" s="12">
        <f>U49+U50+U51+U54+U55+U56</f>
        <v/>
      </c>
      <c r="V57" s="12">
        <f>V49+V50+V51+V54+V55+V56</f>
        <v/>
      </c>
      <c r="W57" s="12">
        <f>W49+W50+W51+W54+W55+W56</f>
        <v/>
      </c>
      <c r="X57" s="12">
        <f>X49+X50+X51+X54+X55+X56</f>
        <v/>
      </c>
      <c r="Y57" s="12">
        <f>Y49+Y50+Y51+Y54+Y55+Y56</f>
        <v/>
      </c>
      <c r="Z57" s="12">
        <f>Z49+Z50+Z51+Z54+Z55+Z56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41" t="inlineStr">
        <is>
          <t>FLUJO NETO DEL MES</t>
        </is>
      </c>
      <c r="B59" s="42" t="n"/>
      <c r="C59" s="43">
        <f>C45-C57</f>
        <v/>
      </c>
      <c r="D59" s="43">
        <f>D45-D57</f>
        <v/>
      </c>
      <c r="E59" s="43">
        <f>E45-E57</f>
        <v/>
      </c>
      <c r="F59" s="43">
        <f>F45-F57</f>
        <v/>
      </c>
      <c r="G59" s="43">
        <f>G45-G57</f>
        <v/>
      </c>
      <c r="H59" s="43">
        <f>H45-H57</f>
        <v/>
      </c>
      <c r="I59" s="43">
        <f>I45-I57</f>
        <v/>
      </c>
      <c r="J59" s="43">
        <f>J45-J57</f>
        <v/>
      </c>
      <c r="K59" s="43">
        <f>K45-K57</f>
        <v/>
      </c>
      <c r="L59" s="43">
        <f>L45-L57</f>
        <v/>
      </c>
      <c r="M59" s="43">
        <f>M45-M57</f>
        <v/>
      </c>
      <c r="N59" s="43">
        <f>N45-N57</f>
        <v/>
      </c>
      <c r="O59" s="43">
        <f>O45-O57</f>
        <v/>
      </c>
      <c r="P59" s="43">
        <f>P45-P57</f>
        <v/>
      </c>
      <c r="Q59" s="43">
        <f>Q45-Q57</f>
        <v/>
      </c>
      <c r="R59" s="43">
        <f>R45-R57</f>
        <v/>
      </c>
      <c r="S59" s="43">
        <f>S45-S57</f>
        <v/>
      </c>
      <c r="T59" s="43">
        <f>T45-T57</f>
        <v/>
      </c>
      <c r="U59" s="43">
        <f>U45-U57</f>
        <v/>
      </c>
      <c r="V59" s="43">
        <f>V45-V57</f>
        <v/>
      </c>
      <c r="W59" s="43">
        <f>W45-W57</f>
        <v/>
      </c>
      <c r="X59" s="43">
        <f>X45-X57</f>
        <v/>
      </c>
      <c r="Y59" s="43">
        <f>Y45-Y57</f>
        <v/>
      </c>
      <c r="Z59" s="43">
        <f>Z45-Z57</f>
        <v/>
      </c>
    </row>
    <row r="60">
      <c r="A60" s="41" t="inlineStr">
        <is>
          <t>FLUJO ACUMULADO</t>
        </is>
      </c>
      <c r="B60" s="42" t="n"/>
      <c r="C60" s="43">
        <f>C59</f>
        <v/>
      </c>
      <c r="D60" s="43">
        <f>C60+D59</f>
        <v/>
      </c>
      <c r="E60" s="43">
        <f>D60+E59</f>
        <v/>
      </c>
      <c r="F60" s="43">
        <f>E60+F59</f>
        <v/>
      </c>
      <c r="G60" s="43">
        <f>F60+G59</f>
        <v/>
      </c>
      <c r="H60" s="43">
        <f>G60+H59</f>
        <v/>
      </c>
      <c r="I60" s="43">
        <f>H60+I59</f>
        <v/>
      </c>
      <c r="J60" s="43">
        <f>I60+J59</f>
        <v/>
      </c>
      <c r="K60" s="43">
        <f>J60+K59</f>
        <v/>
      </c>
      <c r="L60" s="43">
        <f>K60+L59</f>
        <v/>
      </c>
      <c r="M60" s="43">
        <f>L60+M59</f>
        <v/>
      </c>
      <c r="N60" s="43">
        <f>M60+N59</f>
        <v/>
      </c>
      <c r="O60" s="43">
        <f>N60+O59</f>
        <v/>
      </c>
      <c r="P60" s="43">
        <f>O60+P59</f>
        <v/>
      </c>
      <c r="Q60" s="43">
        <f>P60+Q59</f>
        <v/>
      </c>
      <c r="R60" s="43">
        <f>Q60+R59</f>
        <v/>
      </c>
      <c r="S60" s="43">
        <f>R60+S59</f>
        <v/>
      </c>
      <c r="T60" s="43">
        <f>S60+T59</f>
        <v/>
      </c>
      <c r="U60" s="43">
        <f>T60+U59</f>
        <v/>
      </c>
      <c r="V60" s="43">
        <f>U60+V59</f>
        <v/>
      </c>
      <c r="W60" s="43">
        <f>V60+W59</f>
        <v/>
      </c>
      <c r="X60" s="43">
        <f>W60+X59</f>
        <v/>
      </c>
      <c r="Y60" s="43">
        <f>X60+Y59</f>
        <v/>
      </c>
      <c r="Z60" s="43">
        <f>Y60+Z59</f>
        <v/>
      </c>
    </row>
    <row r="61">
      <c r="A61" s="5" t="inlineStr">
        <is>
          <t>Ingreso recurrente anualizado (ARR)</t>
        </is>
      </c>
      <c r="B61" s="2" t="n"/>
      <c r="C61" s="12">
        <f>C32*12</f>
        <v/>
      </c>
      <c r="D61" s="12">
        <f>D32*12</f>
        <v/>
      </c>
      <c r="E61" s="12">
        <f>E32*12</f>
        <v/>
      </c>
      <c r="F61" s="12">
        <f>F32*12</f>
        <v/>
      </c>
      <c r="G61" s="12">
        <f>G32*12</f>
        <v/>
      </c>
      <c r="H61" s="12">
        <f>H32*12</f>
        <v/>
      </c>
      <c r="I61" s="12">
        <f>I32*12</f>
        <v/>
      </c>
      <c r="J61" s="12">
        <f>J32*12</f>
        <v/>
      </c>
      <c r="K61" s="12">
        <f>K32*12</f>
        <v/>
      </c>
      <c r="L61" s="12">
        <f>L32*12</f>
        <v/>
      </c>
      <c r="M61" s="12">
        <f>M32*12</f>
        <v/>
      </c>
      <c r="N61" s="12">
        <f>N32*12</f>
        <v/>
      </c>
      <c r="O61" s="12">
        <f>O32*12</f>
        <v/>
      </c>
      <c r="P61" s="12">
        <f>P32*12</f>
        <v/>
      </c>
      <c r="Q61" s="12">
        <f>Q32*12</f>
        <v/>
      </c>
      <c r="R61" s="12">
        <f>R32*12</f>
        <v/>
      </c>
      <c r="S61" s="12">
        <f>S32*12</f>
        <v/>
      </c>
      <c r="T61" s="12">
        <f>T32*12</f>
        <v/>
      </c>
      <c r="U61" s="12">
        <f>U32*12</f>
        <v/>
      </c>
      <c r="V61" s="12">
        <f>V32*12</f>
        <v/>
      </c>
      <c r="W61" s="12">
        <f>W32*12</f>
        <v/>
      </c>
      <c r="X61" s="12">
        <f>X32*12</f>
        <v/>
      </c>
      <c r="Y61" s="12">
        <f>Y32*12</f>
        <v/>
      </c>
      <c r="Z61" s="12">
        <f>Z32*12</f>
        <v/>
      </c>
    </row>
    <row r="62">
      <c r="A62" s="5" t="inlineStr">
        <is>
          <t>Ayuda: mes con flujo positivo (99 = no)</t>
        </is>
      </c>
      <c r="B62" s="2" t="n"/>
      <c r="C62" s="36">
        <f>IF(C59&gt;0,C3,99)</f>
        <v/>
      </c>
      <c r="D62" s="36">
        <f>IF(D59&gt;0,D3,99)</f>
        <v/>
      </c>
      <c r="E62" s="36">
        <f>IF(E59&gt;0,E3,99)</f>
        <v/>
      </c>
      <c r="F62" s="36">
        <f>IF(F59&gt;0,F3,99)</f>
        <v/>
      </c>
      <c r="G62" s="36">
        <f>IF(G59&gt;0,G3,99)</f>
        <v/>
      </c>
      <c r="H62" s="36">
        <f>IF(H59&gt;0,H3,99)</f>
        <v/>
      </c>
      <c r="I62" s="36">
        <f>IF(I59&gt;0,I3,99)</f>
        <v/>
      </c>
      <c r="J62" s="36">
        <f>IF(J59&gt;0,J3,99)</f>
        <v/>
      </c>
      <c r="K62" s="36">
        <f>IF(K59&gt;0,K3,99)</f>
        <v/>
      </c>
      <c r="L62" s="36">
        <f>IF(L59&gt;0,L3,99)</f>
        <v/>
      </c>
      <c r="M62" s="36">
        <f>IF(M59&gt;0,M3,99)</f>
        <v/>
      </c>
      <c r="N62" s="36">
        <f>IF(N59&gt;0,N3,99)</f>
        <v/>
      </c>
      <c r="O62" s="36">
        <f>IF(O59&gt;0,O3,99)</f>
        <v/>
      </c>
      <c r="P62" s="36">
        <f>IF(P59&gt;0,P3,99)</f>
        <v/>
      </c>
      <c r="Q62" s="36">
        <f>IF(Q59&gt;0,Q3,99)</f>
        <v/>
      </c>
      <c r="R62" s="36">
        <f>IF(R59&gt;0,R3,99)</f>
        <v/>
      </c>
      <c r="S62" s="36">
        <f>IF(S59&gt;0,S3,99)</f>
        <v/>
      </c>
      <c r="T62" s="36">
        <f>IF(T59&gt;0,T3,99)</f>
        <v/>
      </c>
      <c r="U62" s="36">
        <f>IF(U59&gt;0,U3,99)</f>
        <v/>
      </c>
      <c r="V62" s="36">
        <f>IF(V59&gt;0,V3,99)</f>
        <v/>
      </c>
      <c r="W62" s="36">
        <f>IF(W59&gt;0,W3,99)</f>
        <v/>
      </c>
      <c r="X62" s="36">
        <f>IF(X59&gt;0,X3,99)</f>
        <v/>
      </c>
      <c r="Y62" s="36">
        <f>IF(Y59&gt;0,Y3,99)</f>
        <v/>
      </c>
      <c r="Z62" s="36">
        <f>IF(Z59&gt;0,Z3,99)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Escenario Base — mes a mes (MXN sin IVA)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inlineStr">
        <is>
          <t>Mes #</t>
        </is>
      </c>
      <c r="B3" s="2" t="n"/>
      <c r="C3" s="35" t="n">
        <v>1</v>
      </c>
      <c r="D3" s="35" t="n">
        <v>2</v>
      </c>
      <c r="E3" s="35" t="n">
        <v>3</v>
      </c>
      <c r="F3" s="35" t="n">
        <v>4</v>
      </c>
      <c r="G3" s="35" t="n">
        <v>5</v>
      </c>
      <c r="H3" s="35" t="n">
        <v>6</v>
      </c>
      <c r="I3" s="35" t="n">
        <v>7</v>
      </c>
      <c r="J3" s="35" t="n">
        <v>8</v>
      </c>
      <c r="K3" s="35" t="n">
        <v>9</v>
      </c>
      <c r="L3" s="35" t="n">
        <v>10</v>
      </c>
      <c r="M3" s="35" t="n">
        <v>11</v>
      </c>
      <c r="N3" s="35" t="n">
        <v>12</v>
      </c>
      <c r="O3" s="35" t="n">
        <v>13</v>
      </c>
      <c r="P3" s="35" t="n">
        <v>14</v>
      </c>
      <c r="Q3" s="35" t="n">
        <v>15</v>
      </c>
      <c r="R3" s="35" t="n">
        <v>16</v>
      </c>
      <c r="S3" s="35" t="n">
        <v>17</v>
      </c>
      <c r="T3" s="35" t="n">
        <v>18</v>
      </c>
      <c r="U3" s="35" t="n">
        <v>19</v>
      </c>
      <c r="V3" s="35" t="n">
        <v>20</v>
      </c>
      <c r="W3" s="35" t="n">
        <v>21</v>
      </c>
      <c r="X3" s="35" t="n">
        <v>22</v>
      </c>
      <c r="Y3" s="35" t="n">
        <v>23</v>
      </c>
      <c r="Z3" s="35" t="n">
        <v>24</v>
      </c>
    </row>
    <row r="4">
      <c r="A4" s="5" t="inlineStr">
        <is>
          <t>Mes</t>
        </is>
      </c>
      <c r="B4" s="2" t="n"/>
      <c r="C4" s="35" t="inlineStr">
        <is>
          <t>dic-2026</t>
        </is>
      </c>
      <c r="D4" s="35" t="inlineStr">
        <is>
          <t>ene-2027</t>
        </is>
      </c>
      <c r="E4" s="35" t="inlineStr">
        <is>
          <t>feb-2027</t>
        </is>
      </c>
      <c r="F4" s="35" t="inlineStr">
        <is>
          <t>mar-2027</t>
        </is>
      </c>
      <c r="G4" s="35" t="inlineStr">
        <is>
          <t>abr-2027</t>
        </is>
      </c>
      <c r="H4" s="35" t="inlineStr">
        <is>
          <t>may-2027</t>
        </is>
      </c>
      <c r="I4" s="35" t="inlineStr">
        <is>
          <t>jun-2027</t>
        </is>
      </c>
      <c r="J4" s="35" t="inlineStr">
        <is>
          <t>jul-2027</t>
        </is>
      </c>
      <c r="K4" s="35" t="inlineStr">
        <is>
          <t>ago-2027</t>
        </is>
      </c>
      <c r="L4" s="35" t="inlineStr">
        <is>
          <t>sep-2027</t>
        </is>
      </c>
      <c r="M4" s="35" t="inlineStr">
        <is>
          <t>oct-2027</t>
        </is>
      </c>
      <c r="N4" s="35" t="inlineStr">
        <is>
          <t>nov-2027</t>
        </is>
      </c>
      <c r="O4" s="35" t="inlineStr">
        <is>
          <t>dic-2027</t>
        </is>
      </c>
      <c r="P4" s="35" t="inlineStr">
        <is>
          <t>ene-2028</t>
        </is>
      </c>
      <c r="Q4" s="35" t="inlineStr">
        <is>
          <t>feb-2028</t>
        </is>
      </c>
      <c r="R4" s="35" t="inlineStr">
        <is>
          <t>mar-2028</t>
        </is>
      </c>
      <c r="S4" s="35" t="inlineStr">
        <is>
          <t>abr-2028</t>
        </is>
      </c>
      <c r="T4" s="35" t="inlineStr">
        <is>
          <t>may-2028</t>
        </is>
      </c>
      <c r="U4" s="35" t="inlineStr">
        <is>
          <t>jun-2028</t>
        </is>
      </c>
      <c r="V4" s="35" t="inlineStr">
        <is>
          <t>jul-2028</t>
        </is>
      </c>
      <c r="W4" s="35" t="inlineStr">
        <is>
          <t>ago-2028</t>
        </is>
      </c>
      <c r="X4" s="35" t="inlineStr">
        <is>
          <t>sep-2028</t>
        </is>
      </c>
      <c r="Y4" s="35" t="inlineStr">
        <is>
          <t>oct-2028</t>
        </is>
      </c>
      <c r="Z4" s="35" t="inlineStr">
        <is>
          <t>nov-2028</t>
        </is>
      </c>
    </row>
    <row r="5">
      <c r="A5" s="5" t="inlineStr">
        <is>
          <t>Plan Clínico disponible (1 = sí)</t>
        </is>
      </c>
      <c r="B5" s="2" t="n"/>
      <c r="C5" s="36">
        <f>IF(C3&gt;=Supuestos!$B$43,1,0)</f>
        <v/>
      </c>
      <c r="D5" s="36">
        <f>IF(D3&gt;=Supuestos!$B$43,1,0)</f>
        <v/>
      </c>
      <c r="E5" s="36">
        <f>IF(E3&gt;=Supuestos!$B$43,1,0)</f>
        <v/>
      </c>
      <c r="F5" s="36">
        <f>IF(F3&gt;=Supuestos!$B$43,1,0)</f>
        <v/>
      </c>
      <c r="G5" s="36">
        <f>IF(G3&gt;=Supuestos!$B$43,1,0)</f>
        <v/>
      </c>
      <c r="H5" s="36">
        <f>IF(H3&gt;=Supuestos!$B$43,1,0)</f>
        <v/>
      </c>
      <c r="I5" s="36">
        <f>IF(I3&gt;=Supuestos!$B$43,1,0)</f>
        <v/>
      </c>
      <c r="J5" s="36">
        <f>IF(J3&gt;=Supuestos!$B$43,1,0)</f>
        <v/>
      </c>
      <c r="K5" s="36">
        <f>IF(K3&gt;=Supuestos!$B$43,1,0)</f>
        <v/>
      </c>
      <c r="L5" s="36">
        <f>IF(L3&gt;=Supuestos!$B$43,1,0)</f>
        <v/>
      </c>
      <c r="M5" s="36">
        <f>IF(M3&gt;=Supuestos!$B$43,1,0)</f>
        <v/>
      </c>
      <c r="N5" s="36">
        <f>IF(N3&gt;=Supuestos!$B$43,1,0)</f>
        <v/>
      </c>
      <c r="O5" s="36">
        <f>IF(O3&gt;=Supuestos!$B$43,1,0)</f>
        <v/>
      </c>
      <c r="P5" s="36">
        <f>IF(P3&gt;=Supuestos!$B$43,1,0)</f>
        <v/>
      </c>
      <c r="Q5" s="36">
        <f>IF(Q3&gt;=Supuestos!$B$43,1,0)</f>
        <v/>
      </c>
      <c r="R5" s="36">
        <f>IF(R3&gt;=Supuestos!$B$43,1,0)</f>
        <v/>
      </c>
      <c r="S5" s="36">
        <f>IF(S3&gt;=Supuestos!$B$43,1,0)</f>
        <v/>
      </c>
      <c r="T5" s="36">
        <f>IF(T3&gt;=Supuestos!$B$43,1,0)</f>
        <v/>
      </c>
      <c r="U5" s="36">
        <f>IF(U3&gt;=Supuestos!$B$43,1,0)</f>
        <v/>
      </c>
      <c r="V5" s="36">
        <f>IF(V3&gt;=Supuestos!$B$43,1,0)</f>
        <v/>
      </c>
      <c r="W5" s="36">
        <f>IF(W3&gt;=Supuestos!$B$43,1,0)</f>
        <v/>
      </c>
      <c r="X5" s="36">
        <f>IF(X3&gt;=Supuestos!$B$43,1,0)</f>
        <v/>
      </c>
      <c r="Y5" s="36">
        <f>IF(Y3&gt;=Supuestos!$B$43,1,0)</f>
        <v/>
      </c>
      <c r="Z5" s="36">
        <f>IF(Z3&gt;=Supuestos!$B$43,1,0)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7" t="inlineStr">
        <is>
          <t>MÉDICOS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</row>
    <row r="8">
      <c r="A8" s="5" t="inlineStr">
        <is>
          <t>Médicos nuevos</t>
        </is>
      </c>
      <c r="B8" s="2" t="n"/>
      <c r="C8" s="39">
        <f>Supuestos!$C$64</f>
        <v/>
      </c>
      <c r="D8" s="39">
        <f>Supuestos!$C$64</f>
        <v/>
      </c>
      <c r="E8" s="39">
        <f>Supuestos!$C$64</f>
        <v/>
      </c>
      <c r="F8" s="39">
        <f>Supuestos!$C$64</f>
        <v/>
      </c>
      <c r="G8" s="39">
        <f>Supuestos!$C$64</f>
        <v/>
      </c>
      <c r="H8" s="39">
        <f>Supuestos!$C$64</f>
        <v/>
      </c>
      <c r="I8" s="39">
        <f>Supuestos!$C$64</f>
        <v/>
      </c>
      <c r="J8" s="39">
        <f>Supuestos!$C$64</f>
        <v/>
      </c>
      <c r="K8" s="39">
        <f>Supuestos!$C$64</f>
        <v/>
      </c>
      <c r="L8" s="39">
        <f>Supuestos!$C$64</f>
        <v/>
      </c>
      <c r="M8" s="39">
        <f>Supuestos!$C$64</f>
        <v/>
      </c>
      <c r="N8" s="39">
        <f>Supuestos!$C$64</f>
        <v/>
      </c>
      <c r="O8" s="39">
        <f>Supuestos!$C$64</f>
        <v/>
      </c>
      <c r="P8" s="39">
        <f>Supuestos!$C$64</f>
        <v/>
      </c>
      <c r="Q8" s="39">
        <f>Supuestos!$C$64</f>
        <v/>
      </c>
      <c r="R8" s="39">
        <f>Supuestos!$C$64</f>
        <v/>
      </c>
      <c r="S8" s="39">
        <f>Supuestos!$C$64</f>
        <v/>
      </c>
      <c r="T8" s="39">
        <f>Supuestos!$C$64</f>
        <v/>
      </c>
      <c r="U8" s="39">
        <f>Supuestos!$C$64</f>
        <v/>
      </c>
      <c r="V8" s="39">
        <f>Supuestos!$C$64</f>
        <v/>
      </c>
      <c r="W8" s="39">
        <f>Supuestos!$C$64</f>
        <v/>
      </c>
      <c r="X8" s="39">
        <f>Supuestos!$C$64</f>
        <v/>
      </c>
      <c r="Y8" s="39">
        <f>Supuestos!$C$64</f>
        <v/>
      </c>
      <c r="Z8" s="39">
        <f>Supuestos!$C$64</f>
        <v/>
      </c>
    </row>
    <row r="9">
      <c r="A9" s="5" t="inlineStr">
        <is>
          <t>Fundadores nuevos</t>
        </is>
      </c>
      <c r="B9" s="2" t="n"/>
      <c r="C9" s="40">
        <f>MIN(C8,Supuestos!$B$9)</f>
        <v/>
      </c>
      <c r="D9" s="40">
        <f>MIN(D8,Supuestos!$B$9-C10)</f>
        <v/>
      </c>
      <c r="E9" s="40">
        <f>MIN(E8,Supuestos!$B$9-D10)</f>
        <v/>
      </c>
      <c r="F9" s="40">
        <f>MIN(F8,Supuestos!$B$9-E10)</f>
        <v/>
      </c>
      <c r="G9" s="40">
        <f>MIN(G8,Supuestos!$B$9-F10)</f>
        <v/>
      </c>
      <c r="H9" s="40">
        <f>MIN(H8,Supuestos!$B$9-G10)</f>
        <v/>
      </c>
      <c r="I9" s="40">
        <f>MIN(I8,Supuestos!$B$9-H10)</f>
        <v/>
      </c>
      <c r="J9" s="40">
        <f>MIN(J8,Supuestos!$B$9-I10)</f>
        <v/>
      </c>
      <c r="K9" s="40">
        <f>MIN(K8,Supuestos!$B$9-J10)</f>
        <v/>
      </c>
      <c r="L9" s="40">
        <f>MIN(L8,Supuestos!$B$9-K10)</f>
        <v/>
      </c>
      <c r="M9" s="40">
        <f>MIN(M8,Supuestos!$B$9-L10)</f>
        <v/>
      </c>
      <c r="N9" s="40">
        <f>MIN(N8,Supuestos!$B$9-M10)</f>
        <v/>
      </c>
      <c r="O9" s="40">
        <f>MIN(O8,Supuestos!$B$9-N10)</f>
        <v/>
      </c>
      <c r="P9" s="40">
        <f>MIN(P8,Supuestos!$B$9-O10)</f>
        <v/>
      </c>
      <c r="Q9" s="40">
        <f>MIN(Q8,Supuestos!$B$9-P10)</f>
        <v/>
      </c>
      <c r="R9" s="40">
        <f>MIN(R8,Supuestos!$B$9-Q10)</f>
        <v/>
      </c>
      <c r="S9" s="40">
        <f>MIN(S8,Supuestos!$B$9-R10)</f>
        <v/>
      </c>
      <c r="T9" s="40">
        <f>MIN(T8,Supuestos!$B$9-S10)</f>
        <v/>
      </c>
      <c r="U9" s="40">
        <f>MIN(U8,Supuestos!$B$9-T10)</f>
        <v/>
      </c>
      <c r="V9" s="40">
        <f>MIN(V8,Supuestos!$B$9-U10)</f>
        <v/>
      </c>
      <c r="W9" s="40">
        <f>MIN(W8,Supuestos!$B$9-V10)</f>
        <v/>
      </c>
      <c r="X9" s="40">
        <f>MIN(X8,Supuestos!$B$9-W10)</f>
        <v/>
      </c>
      <c r="Y9" s="40">
        <f>MIN(Y8,Supuestos!$B$9-X10)</f>
        <v/>
      </c>
      <c r="Z9" s="40">
        <f>MIN(Z8,Supuestos!$B$9-Y10)</f>
        <v/>
      </c>
    </row>
    <row r="10">
      <c r="A10" s="5" t="inlineStr">
        <is>
          <t>Fundadores inscritos (acumulado)</t>
        </is>
      </c>
      <c r="B10" s="2" t="n"/>
      <c r="C10" s="40">
        <f>C9</f>
        <v/>
      </c>
      <c r="D10" s="40">
        <f>C10+D9</f>
        <v/>
      </c>
      <c r="E10" s="40">
        <f>D10+E9</f>
        <v/>
      </c>
      <c r="F10" s="40">
        <f>E10+F9</f>
        <v/>
      </c>
      <c r="G10" s="40">
        <f>F10+G9</f>
        <v/>
      </c>
      <c r="H10" s="40">
        <f>G10+H9</f>
        <v/>
      </c>
      <c r="I10" s="40">
        <f>H10+I9</f>
        <v/>
      </c>
      <c r="J10" s="40">
        <f>I10+J9</f>
        <v/>
      </c>
      <c r="K10" s="40">
        <f>J10+K9</f>
        <v/>
      </c>
      <c r="L10" s="40">
        <f>K10+L9</f>
        <v/>
      </c>
      <c r="M10" s="40">
        <f>L10+M9</f>
        <v/>
      </c>
      <c r="N10" s="40">
        <f>M10+N9</f>
        <v/>
      </c>
      <c r="O10" s="40">
        <f>N10+O9</f>
        <v/>
      </c>
      <c r="P10" s="40">
        <f>O10+P9</f>
        <v/>
      </c>
      <c r="Q10" s="40">
        <f>P10+Q9</f>
        <v/>
      </c>
      <c r="R10" s="40">
        <f>Q10+R9</f>
        <v/>
      </c>
      <c r="S10" s="40">
        <f>R10+S9</f>
        <v/>
      </c>
      <c r="T10" s="40">
        <f>S10+T9</f>
        <v/>
      </c>
      <c r="U10" s="40">
        <f>T10+U9</f>
        <v/>
      </c>
      <c r="V10" s="40">
        <f>U10+V9</f>
        <v/>
      </c>
      <c r="W10" s="40">
        <f>V10+W9</f>
        <v/>
      </c>
      <c r="X10" s="40">
        <f>W10+X9</f>
        <v/>
      </c>
      <c r="Y10" s="40">
        <f>X10+Y9</f>
        <v/>
      </c>
      <c r="Z10" s="40">
        <f>Y10+Z9</f>
        <v/>
      </c>
    </row>
    <row r="11">
      <c r="A11" s="5" t="inlineStr">
        <is>
          <t>Nuevos no fundadores</t>
        </is>
      </c>
      <c r="B11" s="2" t="n"/>
      <c r="C11" s="40">
        <f>C8-C9</f>
        <v/>
      </c>
      <c r="D11" s="40">
        <f>D8-D9</f>
        <v/>
      </c>
      <c r="E11" s="40">
        <f>E8-E9</f>
        <v/>
      </c>
      <c r="F11" s="40">
        <f>F8-F9</f>
        <v/>
      </c>
      <c r="G11" s="40">
        <f>G8-G9</f>
        <v/>
      </c>
      <c r="H11" s="40">
        <f>H8-H9</f>
        <v/>
      </c>
      <c r="I11" s="40">
        <f>I8-I9</f>
        <v/>
      </c>
      <c r="J11" s="40">
        <f>J8-J9</f>
        <v/>
      </c>
      <c r="K11" s="40">
        <f>K8-K9</f>
        <v/>
      </c>
      <c r="L11" s="40">
        <f>L8-L9</f>
        <v/>
      </c>
      <c r="M11" s="40">
        <f>M8-M9</f>
        <v/>
      </c>
      <c r="N11" s="40">
        <f>N8-N9</f>
        <v/>
      </c>
      <c r="O11" s="40">
        <f>O8-O9</f>
        <v/>
      </c>
      <c r="P11" s="40">
        <f>P8-P9</f>
        <v/>
      </c>
      <c r="Q11" s="40">
        <f>Q8-Q9</f>
        <v/>
      </c>
      <c r="R11" s="40">
        <f>R8-R9</f>
        <v/>
      </c>
      <c r="S11" s="40">
        <f>S8-S9</f>
        <v/>
      </c>
      <c r="T11" s="40">
        <f>T8-T9</f>
        <v/>
      </c>
      <c r="U11" s="40">
        <f>U8-U9</f>
        <v/>
      </c>
      <c r="V11" s="40">
        <f>V8-V9</f>
        <v/>
      </c>
      <c r="W11" s="40">
        <f>W8-W9</f>
        <v/>
      </c>
      <c r="X11" s="40">
        <f>X8-X9</f>
        <v/>
      </c>
      <c r="Y11" s="40">
        <f>Y8-Y9</f>
        <v/>
      </c>
      <c r="Z11" s="40">
        <f>Z8-Z9</f>
        <v/>
      </c>
    </row>
    <row r="12">
      <c r="A12" s="5" t="inlineStr">
        <is>
          <t>Nuevos que eligen Clínico</t>
        </is>
      </c>
      <c r="B12" s="2" t="n"/>
      <c r="C12" s="40">
        <f>C11*C5*Supuestos!$C$66</f>
        <v/>
      </c>
      <c r="D12" s="40">
        <f>D11*D5*Supuestos!$C$66</f>
        <v/>
      </c>
      <c r="E12" s="40">
        <f>E11*E5*Supuestos!$C$66</f>
        <v/>
      </c>
      <c r="F12" s="40">
        <f>F11*F5*Supuestos!$C$66</f>
        <v/>
      </c>
      <c r="G12" s="40">
        <f>G11*G5*Supuestos!$C$66</f>
        <v/>
      </c>
      <c r="H12" s="40">
        <f>H11*H5*Supuestos!$C$66</f>
        <v/>
      </c>
      <c r="I12" s="40">
        <f>I11*I5*Supuestos!$C$66</f>
        <v/>
      </c>
      <c r="J12" s="40">
        <f>J11*J5*Supuestos!$C$66</f>
        <v/>
      </c>
      <c r="K12" s="40">
        <f>K11*K5*Supuestos!$C$66</f>
        <v/>
      </c>
      <c r="L12" s="40">
        <f>L11*L5*Supuestos!$C$66</f>
        <v/>
      </c>
      <c r="M12" s="40">
        <f>M11*M5*Supuestos!$C$66</f>
        <v/>
      </c>
      <c r="N12" s="40">
        <f>N11*N5*Supuestos!$C$66</f>
        <v/>
      </c>
      <c r="O12" s="40">
        <f>O11*O5*Supuestos!$C$66</f>
        <v/>
      </c>
      <c r="P12" s="40">
        <f>P11*P5*Supuestos!$C$66</f>
        <v/>
      </c>
      <c r="Q12" s="40">
        <f>Q11*Q5*Supuestos!$C$66</f>
        <v/>
      </c>
      <c r="R12" s="40">
        <f>R11*R5*Supuestos!$C$66</f>
        <v/>
      </c>
      <c r="S12" s="40">
        <f>S11*S5*Supuestos!$C$66</f>
        <v/>
      </c>
      <c r="T12" s="40">
        <f>T11*T5*Supuestos!$C$66</f>
        <v/>
      </c>
      <c r="U12" s="40">
        <f>U11*U5*Supuestos!$C$66</f>
        <v/>
      </c>
      <c r="V12" s="40">
        <f>V11*V5*Supuestos!$C$66</f>
        <v/>
      </c>
      <c r="W12" s="40">
        <f>W11*W5*Supuestos!$C$66</f>
        <v/>
      </c>
      <c r="X12" s="40">
        <f>X11*X5*Supuestos!$C$66</f>
        <v/>
      </c>
      <c r="Y12" s="40">
        <f>Y11*Y5*Supuestos!$C$66</f>
        <v/>
      </c>
      <c r="Z12" s="40">
        <f>Z11*Z5*Supuestos!$C$66</f>
        <v/>
      </c>
    </row>
    <row r="13">
      <c r="A13" s="5" t="inlineStr">
        <is>
          <t>Nuevos que eligen Red</t>
        </is>
      </c>
      <c r="B13" s="2" t="n"/>
      <c r="C13" s="40">
        <f>C11-C12</f>
        <v/>
      </c>
      <c r="D13" s="40">
        <f>D11-D12</f>
        <v/>
      </c>
      <c r="E13" s="40">
        <f>E11-E12</f>
        <v/>
      </c>
      <c r="F13" s="40">
        <f>F11-F12</f>
        <v/>
      </c>
      <c r="G13" s="40">
        <f>G11-G12</f>
        <v/>
      </c>
      <c r="H13" s="40">
        <f>H11-H12</f>
        <v/>
      </c>
      <c r="I13" s="40">
        <f>I11-I12</f>
        <v/>
      </c>
      <c r="J13" s="40">
        <f>J11-J12</f>
        <v/>
      </c>
      <c r="K13" s="40">
        <f>K11-K12</f>
        <v/>
      </c>
      <c r="L13" s="40">
        <f>L11-L12</f>
        <v/>
      </c>
      <c r="M13" s="40">
        <f>M11-M12</f>
        <v/>
      </c>
      <c r="N13" s="40">
        <f>N11-N12</f>
        <v/>
      </c>
      <c r="O13" s="40">
        <f>O11-O12</f>
        <v/>
      </c>
      <c r="P13" s="40">
        <f>P11-P12</f>
        <v/>
      </c>
      <c r="Q13" s="40">
        <f>Q11-Q12</f>
        <v/>
      </c>
      <c r="R13" s="40">
        <f>R11-R12</f>
        <v/>
      </c>
      <c r="S13" s="40">
        <f>S11-S12</f>
        <v/>
      </c>
      <c r="T13" s="40">
        <f>T11-T12</f>
        <v/>
      </c>
      <c r="U13" s="40">
        <f>U11-U12</f>
        <v/>
      </c>
      <c r="V13" s="40">
        <f>V11-V12</f>
        <v/>
      </c>
      <c r="W13" s="40">
        <f>W11-W12</f>
        <v/>
      </c>
      <c r="X13" s="40">
        <f>X11-X12</f>
        <v/>
      </c>
      <c r="Y13" s="40">
        <f>Y11-Y12</f>
        <v/>
      </c>
      <c r="Z13" s="40">
        <f>Z11-Z12</f>
        <v/>
      </c>
    </row>
    <row r="14">
      <c r="A14" s="5" t="inlineStr">
        <is>
          <t>Fundadores activos</t>
        </is>
      </c>
      <c r="B14" s="2" t="n"/>
      <c r="C14" s="40">
        <f>C9</f>
        <v/>
      </c>
      <c r="D14" s="40">
        <f>C14*(1-Supuestos!$C$65)+D9</f>
        <v/>
      </c>
      <c r="E14" s="40">
        <f>D14*(1-Supuestos!$C$65)+E9</f>
        <v/>
      </c>
      <c r="F14" s="40">
        <f>E14*(1-Supuestos!$C$65)+F9</f>
        <v/>
      </c>
      <c r="G14" s="40">
        <f>F14*(1-Supuestos!$C$65)+G9</f>
        <v/>
      </c>
      <c r="H14" s="40">
        <f>G14*(1-Supuestos!$C$65)+H9</f>
        <v/>
      </c>
      <c r="I14" s="40">
        <f>H14*(1-Supuestos!$C$65)+I9</f>
        <v/>
      </c>
      <c r="J14" s="40">
        <f>I14*(1-Supuestos!$C$65)+J9</f>
        <v/>
      </c>
      <c r="K14" s="40">
        <f>J14*(1-Supuestos!$C$65)+K9</f>
        <v/>
      </c>
      <c r="L14" s="40">
        <f>K14*(1-Supuestos!$C$65)+L9</f>
        <v/>
      </c>
      <c r="M14" s="40">
        <f>L14*(1-Supuestos!$C$65)+M9</f>
        <v/>
      </c>
      <c r="N14" s="40">
        <f>M14*(1-Supuestos!$C$65)+N9</f>
        <v/>
      </c>
      <c r="O14" s="40">
        <f>N14*(1-Supuestos!$C$65)+O9</f>
        <v/>
      </c>
      <c r="P14" s="40">
        <f>O14*(1-Supuestos!$C$65)+P9</f>
        <v/>
      </c>
      <c r="Q14" s="40">
        <f>P14*(1-Supuestos!$C$65)+Q9</f>
        <v/>
      </c>
      <c r="R14" s="40">
        <f>Q14*(1-Supuestos!$C$65)+R9</f>
        <v/>
      </c>
      <c r="S14" s="40">
        <f>R14*(1-Supuestos!$C$65)+S9</f>
        <v/>
      </c>
      <c r="T14" s="40">
        <f>S14*(1-Supuestos!$C$65)+T9</f>
        <v/>
      </c>
      <c r="U14" s="40">
        <f>T14*(1-Supuestos!$C$65)+U9</f>
        <v/>
      </c>
      <c r="V14" s="40">
        <f>U14*(1-Supuestos!$C$65)+V9</f>
        <v/>
      </c>
      <c r="W14" s="40">
        <f>V14*(1-Supuestos!$C$65)+W9</f>
        <v/>
      </c>
      <c r="X14" s="40">
        <f>W14*(1-Supuestos!$C$65)+X9</f>
        <v/>
      </c>
      <c r="Y14" s="40">
        <f>X14*(1-Supuestos!$C$65)+Y9</f>
        <v/>
      </c>
      <c r="Z14" s="40">
        <f>Y14*(1-Supuestos!$C$65)+Z9</f>
        <v/>
      </c>
    </row>
    <row r="15">
      <c r="A15" s="5" t="inlineStr">
        <is>
          <t>Suben de Red a Clínico</t>
        </is>
      </c>
      <c r="B15" s="2" t="n"/>
      <c r="C15" s="40">
        <f>0</f>
        <v/>
      </c>
      <c r="D15" s="40">
        <f>C16*(1-Supuestos!$C$65)*D5*Supuestos!$C$67</f>
        <v/>
      </c>
      <c r="E15" s="40">
        <f>D16*(1-Supuestos!$C$65)*E5*Supuestos!$C$67</f>
        <v/>
      </c>
      <c r="F15" s="40">
        <f>E16*(1-Supuestos!$C$65)*F5*Supuestos!$C$67</f>
        <v/>
      </c>
      <c r="G15" s="40">
        <f>F16*(1-Supuestos!$C$65)*G5*Supuestos!$C$67</f>
        <v/>
      </c>
      <c r="H15" s="40">
        <f>G16*(1-Supuestos!$C$65)*H5*Supuestos!$C$67</f>
        <v/>
      </c>
      <c r="I15" s="40">
        <f>H16*(1-Supuestos!$C$65)*I5*Supuestos!$C$67</f>
        <v/>
      </c>
      <c r="J15" s="40">
        <f>I16*(1-Supuestos!$C$65)*J5*Supuestos!$C$67</f>
        <v/>
      </c>
      <c r="K15" s="40">
        <f>J16*(1-Supuestos!$C$65)*K5*Supuestos!$C$67</f>
        <v/>
      </c>
      <c r="L15" s="40">
        <f>K16*(1-Supuestos!$C$65)*L5*Supuestos!$C$67</f>
        <v/>
      </c>
      <c r="M15" s="40">
        <f>L16*(1-Supuestos!$C$65)*M5*Supuestos!$C$67</f>
        <v/>
      </c>
      <c r="N15" s="40">
        <f>M16*(1-Supuestos!$C$65)*N5*Supuestos!$C$67</f>
        <v/>
      </c>
      <c r="O15" s="40">
        <f>N16*(1-Supuestos!$C$65)*O5*Supuestos!$C$67</f>
        <v/>
      </c>
      <c r="P15" s="40">
        <f>O16*(1-Supuestos!$C$65)*P5*Supuestos!$C$67</f>
        <v/>
      </c>
      <c r="Q15" s="40">
        <f>P16*(1-Supuestos!$C$65)*Q5*Supuestos!$C$67</f>
        <v/>
      </c>
      <c r="R15" s="40">
        <f>Q16*(1-Supuestos!$C$65)*R5*Supuestos!$C$67</f>
        <v/>
      </c>
      <c r="S15" s="40">
        <f>R16*(1-Supuestos!$C$65)*S5*Supuestos!$C$67</f>
        <v/>
      </c>
      <c r="T15" s="40">
        <f>S16*(1-Supuestos!$C$65)*T5*Supuestos!$C$67</f>
        <v/>
      </c>
      <c r="U15" s="40">
        <f>T16*(1-Supuestos!$C$65)*U5*Supuestos!$C$67</f>
        <v/>
      </c>
      <c r="V15" s="40">
        <f>U16*(1-Supuestos!$C$65)*V5*Supuestos!$C$67</f>
        <v/>
      </c>
      <c r="W15" s="40">
        <f>V16*(1-Supuestos!$C$65)*W5*Supuestos!$C$67</f>
        <v/>
      </c>
      <c r="X15" s="40">
        <f>W16*(1-Supuestos!$C$65)*X5*Supuestos!$C$67</f>
        <v/>
      </c>
      <c r="Y15" s="40">
        <f>X16*(1-Supuestos!$C$65)*Y5*Supuestos!$C$67</f>
        <v/>
      </c>
      <c r="Z15" s="40">
        <f>Y16*(1-Supuestos!$C$65)*Z5*Supuestos!$C$67</f>
        <v/>
      </c>
    </row>
    <row r="16">
      <c r="A16" s="5" t="inlineStr">
        <is>
          <t>Red activos</t>
        </is>
      </c>
      <c r="B16" s="2" t="n"/>
      <c r="C16" s="40">
        <f>C13</f>
        <v/>
      </c>
      <c r="D16" s="40">
        <f>C16*(1-Supuestos!$C$65)-D15+D13</f>
        <v/>
      </c>
      <c r="E16" s="40">
        <f>D16*(1-Supuestos!$C$65)-E15+E13</f>
        <v/>
      </c>
      <c r="F16" s="40">
        <f>E16*(1-Supuestos!$C$65)-F15+F13</f>
        <v/>
      </c>
      <c r="G16" s="40">
        <f>F16*(1-Supuestos!$C$65)-G15+G13</f>
        <v/>
      </c>
      <c r="H16" s="40">
        <f>G16*(1-Supuestos!$C$65)-H15+H13</f>
        <v/>
      </c>
      <c r="I16" s="40">
        <f>H16*(1-Supuestos!$C$65)-I15+I13</f>
        <v/>
      </c>
      <c r="J16" s="40">
        <f>I16*(1-Supuestos!$C$65)-J15+J13</f>
        <v/>
      </c>
      <c r="K16" s="40">
        <f>J16*(1-Supuestos!$C$65)-K15+K13</f>
        <v/>
      </c>
      <c r="L16" s="40">
        <f>K16*(1-Supuestos!$C$65)-L15+L13</f>
        <v/>
      </c>
      <c r="M16" s="40">
        <f>L16*(1-Supuestos!$C$65)-M15+M13</f>
        <v/>
      </c>
      <c r="N16" s="40">
        <f>M16*(1-Supuestos!$C$65)-N15+N13</f>
        <v/>
      </c>
      <c r="O16" s="40">
        <f>N16*(1-Supuestos!$C$65)-O15+O13</f>
        <v/>
      </c>
      <c r="P16" s="40">
        <f>O16*(1-Supuestos!$C$65)-P15+P13</f>
        <v/>
      </c>
      <c r="Q16" s="40">
        <f>P16*(1-Supuestos!$C$65)-Q15+Q13</f>
        <v/>
      </c>
      <c r="R16" s="40">
        <f>Q16*(1-Supuestos!$C$65)-R15+R13</f>
        <v/>
      </c>
      <c r="S16" s="40">
        <f>R16*(1-Supuestos!$C$65)-S15+S13</f>
        <v/>
      </c>
      <c r="T16" s="40">
        <f>S16*(1-Supuestos!$C$65)-T15+T13</f>
        <v/>
      </c>
      <c r="U16" s="40">
        <f>T16*(1-Supuestos!$C$65)-U15+U13</f>
        <v/>
      </c>
      <c r="V16" s="40">
        <f>U16*(1-Supuestos!$C$65)-V15+V13</f>
        <v/>
      </c>
      <c r="W16" s="40">
        <f>V16*(1-Supuestos!$C$65)-W15+W13</f>
        <v/>
      </c>
      <c r="X16" s="40">
        <f>W16*(1-Supuestos!$C$65)-X15+X13</f>
        <v/>
      </c>
      <c r="Y16" s="40">
        <f>X16*(1-Supuestos!$C$65)-Y15+Y13</f>
        <v/>
      </c>
      <c r="Z16" s="40">
        <f>Y16*(1-Supuestos!$C$65)-Z15+Z13</f>
        <v/>
      </c>
    </row>
    <row r="17">
      <c r="A17" s="5" t="inlineStr">
        <is>
          <t>Clínico activos (precio completo)</t>
        </is>
      </c>
      <c r="B17" s="2" t="n"/>
      <c r="C17" s="40">
        <f>C12</f>
        <v/>
      </c>
      <c r="D17" s="40">
        <f>C17*(1-Supuestos!$C$65)+D12+D15</f>
        <v/>
      </c>
      <c r="E17" s="40">
        <f>D17*(1-Supuestos!$C$65)+E12+E15</f>
        <v/>
      </c>
      <c r="F17" s="40">
        <f>E17*(1-Supuestos!$C$65)+F12+F15</f>
        <v/>
      </c>
      <c r="G17" s="40">
        <f>F17*(1-Supuestos!$C$65)+G12+G15</f>
        <v/>
      </c>
      <c r="H17" s="40">
        <f>G17*(1-Supuestos!$C$65)+H12+H15</f>
        <v/>
      </c>
      <c r="I17" s="40">
        <f>H17*(1-Supuestos!$C$65)+I12+I15</f>
        <v/>
      </c>
      <c r="J17" s="40">
        <f>I17*(1-Supuestos!$C$65)+J12+J15</f>
        <v/>
      </c>
      <c r="K17" s="40">
        <f>J17*(1-Supuestos!$C$65)+K12+K15</f>
        <v/>
      </c>
      <c r="L17" s="40">
        <f>K17*(1-Supuestos!$C$65)+L12+L15</f>
        <v/>
      </c>
      <c r="M17" s="40">
        <f>L17*(1-Supuestos!$C$65)+M12+M15</f>
        <v/>
      </c>
      <c r="N17" s="40">
        <f>M17*(1-Supuestos!$C$65)+N12+N15</f>
        <v/>
      </c>
      <c r="O17" s="40">
        <f>N17*(1-Supuestos!$C$65)+O12+O15</f>
        <v/>
      </c>
      <c r="P17" s="40">
        <f>O17*(1-Supuestos!$C$65)+P12+P15</f>
        <v/>
      </c>
      <c r="Q17" s="40">
        <f>P17*(1-Supuestos!$C$65)+Q12+Q15</f>
        <v/>
      </c>
      <c r="R17" s="40">
        <f>Q17*(1-Supuestos!$C$65)+R12+R15</f>
        <v/>
      </c>
      <c r="S17" s="40">
        <f>R17*(1-Supuestos!$C$65)+S12+S15</f>
        <v/>
      </c>
      <c r="T17" s="40">
        <f>S17*(1-Supuestos!$C$65)+T12+T15</f>
        <v/>
      </c>
      <c r="U17" s="40">
        <f>T17*(1-Supuestos!$C$65)+U12+U15</f>
        <v/>
      </c>
      <c r="V17" s="40">
        <f>U17*(1-Supuestos!$C$65)+V12+V15</f>
        <v/>
      </c>
      <c r="W17" s="40">
        <f>V17*(1-Supuestos!$C$65)+W12+W15</f>
        <v/>
      </c>
      <c r="X17" s="40">
        <f>W17*(1-Supuestos!$C$65)+X12+X15</f>
        <v/>
      </c>
      <c r="Y17" s="40">
        <f>X17*(1-Supuestos!$C$65)+Y12+Y15</f>
        <v/>
      </c>
      <c r="Z17" s="40">
        <f>Y17*(1-Supuestos!$C$65)+Z12+Z15</f>
        <v/>
      </c>
    </row>
    <row r="18">
      <c r="A18" s="5" t="inlineStr">
        <is>
          <t>Médicos Regene nuevos</t>
        </is>
      </c>
      <c r="B18" s="2" t="n"/>
      <c r="C18" s="40">
        <f>IF(C3&gt;=Supuestos!$B$57,Supuestos!$B$56*Supuestos!$C$69/MAX(1,25-Supuestos!$B$57),0)</f>
        <v/>
      </c>
      <c r="D18" s="40">
        <f>IF(D3&gt;=Supuestos!$B$57,Supuestos!$B$56*Supuestos!$C$69/MAX(1,25-Supuestos!$B$57),0)</f>
        <v/>
      </c>
      <c r="E18" s="40">
        <f>IF(E3&gt;=Supuestos!$B$57,Supuestos!$B$56*Supuestos!$C$69/MAX(1,25-Supuestos!$B$57),0)</f>
        <v/>
      </c>
      <c r="F18" s="40">
        <f>IF(F3&gt;=Supuestos!$B$57,Supuestos!$B$56*Supuestos!$C$69/MAX(1,25-Supuestos!$B$57),0)</f>
        <v/>
      </c>
      <c r="G18" s="40">
        <f>IF(G3&gt;=Supuestos!$B$57,Supuestos!$B$56*Supuestos!$C$69/MAX(1,25-Supuestos!$B$57),0)</f>
        <v/>
      </c>
      <c r="H18" s="40">
        <f>IF(H3&gt;=Supuestos!$B$57,Supuestos!$B$56*Supuestos!$C$69/MAX(1,25-Supuestos!$B$57),0)</f>
        <v/>
      </c>
      <c r="I18" s="40">
        <f>IF(I3&gt;=Supuestos!$B$57,Supuestos!$B$56*Supuestos!$C$69/MAX(1,25-Supuestos!$B$57),0)</f>
        <v/>
      </c>
      <c r="J18" s="40">
        <f>IF(J3&gt;=Supuestos!$B$57,Supuestos!$B$56*Supuestos!$C$69/MAX(1,25-Supuestos!$B$57),0)</f>
        <v/>
      </c>
      <c r="K18" s="40">
        <f>IF(K3&gt;=Supuestos!$B$57,Supuestos!$B$56*Supuestos!$C$69/MAX(1,25-Supuestos!$B$57),0)</f>
        <v/>
      </c>
      <c r="L18" s="40">
        <f>IF(L3&gt;=Supuestos!$B$57,Supuestos!$B$56*Supuestos!$C$69/MAX(1,25-Supuestos!$B$57),0)</f>
        <v/>
      </c>
      <c r="M18" s="40">
        <f>IF(M3&gt;=Supuestos!$B$57,Supuestos!$B$56*Supuestos!$C$69/MAX(1,25-Supuestos!$B$57),0)</f>
        <v/>
      </c>
      <c r="N18" s="40">
        <f>IF(N3&gt;=Supuestos!$B$57,Supuestos!$B$56*Supuestos!$C$69/MAX(1,25-Supuestos!$B$57),0)</f>
        <v/>
      </c>
      <c r="O18" s="40">
        <f>IF(O3&gt;=Supuestos!$B$57,Supuestos!$B$56*Supuestos!$C$69/MAX(1,25-Supuestos!$B$57),0)</f>
        <v/>
      </c>
      <c r="P18" s="40">
        <f>IF(P3&gt;=Supuestos!$B$57,Supuestos!$B$56*Supuestos!$C$69/MAX(1,25-Supuestos!$B$57),0)</f>
        <v/>
      </c>
      <c r="Q18" s="40">
        <f>IF(Q3&gt;=Supuestos!$B$57,Supuestos!$B$56*Supuestos!$C$69/MAX(1,25-Supuestos!$B$57),0)</f>
        <v/>
      </c>
      <c r="R18" s="40">
        <f>IF(R3&gt;=Supuestos!$B$57,Supuestos!$B$56*Supuestos!$C$69/MAX(1,25-Supuestos!$B$57),0)</f>
        <v/>
      </c>
      <c r="S18" s="40">
        <f>IF(S3&gt;=Supuestos!$B$57,Supuestos!$B$56*Supuestos!$C$69/MAX(1,25-Supuestos!$B$57),0)</f>
        <v/>
      </c>
      <c r="T18" s="40">
        <f>IF(T3&gt;=Supuestos!$B$57,Supuestos!$B$56*Supuestos!$C$69/MAX(1,25-Supuestos!$B$57),0)</f>
        <v/>
      </c>
      <c r="U18" s="40">
        <f>IF(U3&gt;=Supuestos!$B$57,Supuestos!$B$56*Supuestos!$C$69/MAX(1,25-Supuestos!$B$57),0)</f>
        <v/>
      </c>
      <c r="V18" s="40">
        <f>IF(V3&gt;=Supuestos!$B$57,Supuestos!$B$56*Supuestos!$C$69/MAX(1,25-Supuestos!$B$57),0)</f>
        <v/>
      </c>
      <c r="W18" s="40">
        <f>IF(W3&gt;=Supuestos!$B$57,Supuestos!$B$56*Supuestos!$C$69/MAX(1,25-Supuestos!$B$57),0)</f>
        <v/>
      </c>
      <c r="X18" s="40">
        <f>IF(X3&gt;=Supuestos!$B$57,Supuestos!$B$56*Supuestos!$C$69/MAX(1,25-Supuestos!$B$57),0)</f>
        <v/>
      </c>
      <c r="Y18" s="40">
        <f>IF(Y3&gt;=Supuestos!$B$57,Supuestos!$B$56*Supuestos!$C$69/MAX(1,25-Supuestos!$B$57),0)</f>
        <v/>
      </c>
      <c r="Z18" s="40">
        <f>IF(Z3&gt;=Supuestos!$B$57,Supuestos!$B$56*Supuestos!$C$69/MAX(1,25-Supuestos!$B$57),0)</f>
        <v/>
      </c>
    </row>
    <row r="19">
      <c r="A19" s="5" t="inlineStr">
        <is>
          <t>Médicos Regene activos (Clínico con descuento)</t>
        </is>
      </c>
      <c r="B19" s="2" t="n"/>
      <c r="C19" s="40">
        <f>C18</f>
        <v/>
      </c>
      <c r="D19" s="40">
        <f>C19*(1-Supuestos!$C$65)+D18</f>
        <v/>
      </c>
      <c r="E19" s="40">
        <f>D19*(1-Supuestos!$C$65)+E18</f>
        <v/>
      </c>
      <c r="F19" s="40">
        <f>E19*(1-Supuestos!$C$65)+F18</f>
        <v/>
      </c>
      <c r="G19" s="40">
        <f>F19*(1-Supuestos!$C$65)+G18</f>
        <v/>
      </c>
      <c r="H19" s="40">
        <f>G19*(1-Supuestos!$C$65)+H18</f>
        <v/>
      </c>
      <c r="I19" s="40">
        <f>H19*(1-Supuestos!$C$65)+I18</f>
        <v/>
      </c>
      <c r="J19" s="40">
        <f>I19*(1-Supuestos!$C$65)+J18</f>
        <v/>
      </c>
      <c r="K19" s="40">
        <f>J19*(1-Supuestos!$C$65)+K18</f>
        <v/>
      </c>
      <c r="L19" s="40">
        <f>K19*(1-Supuestos!$C$65)+L18</f>
        <v/>
      </c>
      <c r="M19" s="40">
        <f>L19*(1-Supuestos!$C$65)+M18</f>
        <v/>
      </c>
      <c r="N19" s="40">
        <f>M19*(1-Supuestos!$C$65)+N18</f>
        <v/>
      </c>
      <c r="O19" s="40">
        <f>N19*(1-Supuestos!$C$65)+O18</f>
        <v/>
      </c>
      <c r="P19" s="40">
        <f>O19*(1-Supuestos!$C$65)+P18</f>
        <v/>
      </c>
      <c r="Q19" s="40">
        <f>P19*(1-Supuestos!$C$65)+Q18</f>
        <v/>
      </c>
      <c r="R19" s="40">
        <f>Q19*(1-Supuestos!$C$65)+R18</f>
        <v/>
      </c>
      <c r="S19" s="40">
        <f>R19*(1-Supuestos!$C$65)+S18</f>
        <v/>
      </c>
      <c r="T19" s="40">
        <f>S19*(1-Supuestos!$C$65)+T18</f>
        <v/>
      </c>
      <c r="U19" s="40">
        <f>T19*(1-Supuestos!$C$65)+U18</f>
        <v/>
      </c>
      <c r="V19" s="40">
        <f>U19*(1-Supuestos!$C$65)+V18</f>
        <v/>
      </c>
      <c r="W19" s="40">
        <f>V19*(1-Supuestos!$C$65)+W18</f>
        <v/>
      </c>
      <c r="X19" s="40">
        <f>W19*(1-Supuestos!$C$65)+X18</f>
        <v/>
      </c>
      <c r="Y19" s="40">
        <f>X19*(1-Supuestos!$C$65)+Y18</f>
        <v/>
      </c>
      <c r="Z19" s="40">
        <f>Y19*(1-Supuestos!$C$65)+Z18</f>
        <v/>
      </c>
    </row>
    <row r="20">
      <c r="A20" s="5" t="inlineStr">
        <is>
          <t>Total médicos activos</t>
        </is>
      </c>
      <c r="B20" s="2" t="n"/>
      <c r="C20" s="40">
        <f>C14+C16+C17+C19</f>
        <v/>
      </c>
      <c r="D20" s="40">
        <f>D14+D16+D17+D19</f>
        <v/>
      </c>
      <c r="E20" s="40">
        <f>E14+E16+E17+E19</f>
        <v/>
      </c>
      <c r="F20" s="40">
        <f>F14+F16+F17+F19</f>
        <v/>
      </c>
      <c r="G20" s="40">
        <f>G14+G16+G17+G19</f>
        <v/>
      </c>
      <c r="H20" s="40">
        <f>H14+H16+H17+H19</f>
        <v/>
      </c>
      <c r="I20" s="40">
        <f>I14+I16+I17+I19</f>
        <v/>
      </c>
      <c r="J20" s="40">
        <f>J14+J16+J17+J19</f>
        <v/>
      </c>
      <c r="K20" s="40">
        <f>K14+K16+K17+K19</f>
        <v/>
      </c>
      <c r="L20" s="40">
        <f>L14+L16+L17+L19</f>
        <v/>
      </c>
      <c r="M20" s="40">
        <f>M14+M16+M17+M19</f>
        <v/>
      </c>
      <c r="N20" s="40">
        <f>N14+N16+N17+N19</f>
        <v/>
      </c>
      <c r="O20" s="40">
        <f>O14+O16+O17+O19</f>
        <v/>
      </c>
      <c r="P20" s="40">
        <f>P14+P16+P17+P19</f>
        <v/>
      </c>
      <c r="Q20" s="40">
        <f>Q14+Q16+Q17+Q19</f>
        <v/>
      </c>
      <c r="R20" s="40">
        <f>R14+R16+R17+R19</f>
        <v/>
      </c>
      <c r="S20" s="40">
        <f>S14+S16+S17+S19</f>
        <v/>
      </c>
      <c r="T20" s="40">
        <f>T14+T16+T17+T19</f>
        <v/>
      </c>
      <c r="U20" s="40">
        <f>U14+U16+U17+U19</f>
        <v/>
      </c>
      <c r="V20" s="40">
        <f>V14+V16+V17+V19</f>
        <v/>
      </c>
      <c r="W20" s="40">
        <f>W14+W16+W17+W19</f>
        <v/>
      </c>
      <c r="X20" s="40">
        <f>X14+X16+X17+X19</f>
        <v/>
      </c>
      <c r="Y20" s="40">
        <f>Y14+Y16+Y17+Y19</f>
        <v/>
      </c>
      <c r="Z20" s="40">
        <f>Z14+Z16+Z17+Z19</f>
        <v/>
      </c>
    </row>
    <row r="21">
      <c r="A21" s="5" t="inlineStr">
        <is>
          <t>Médicos usando el portal clínico</t>
        </is>
      </c>
      <c r="B21" s="2" t="n"/>
      <c r="C21" s="40">
        <f>C17+C19+C14*C5</f>
        <v/>
      </c>
      <c r="D21" s="40">
        <f>D17+D19+D14*D5</f>
        <v/>
      </c>
      <c r="E21" s="40">
        <f>E17+E19+E14*E5</f>
        <v/>
      </c>
      <c r="F21" s="40">
        <f>F17+F19+F14*F5</f>
        <v/>
      </c>
      <c r="G21" s="40">
        <f>G17+G19+G14*G5</f>
        <v/>
      </c>
      <c r="H21" s="40">
        <f>H17+H19+H14*H5</f>
        <v/>
      </c>
      <c r="I21" s="40">
        <f>I17+I19+I14*I5</f>
        <v/>
      </c>
      <c r="J21" s="40">
        <f>J17+J19+J14*J5</f>
        <v/>
      </c>
      <c r="K21" s="40">
        <f>K17+K19+K14*K5</f>
        <v/>
      </c>
      <c r="L21" s="40">
        <f>L17+L19+L14*L5</f>
        <v/>
      </c>
      <c r="M21" s="40">
        <f>M17+M19+M14*M5</f>
        <v/>
      </c>
      <c r="N21" s="40">
        <f>N17+N19+N14*N5</f>
        <v/>
      </c>
      <c r="O21" s="40">
        <f>O17+O19+O14*O5</f>
        <v/>
      </c>
      <c r="P21" s="40">
        <f>P17+P19+P14*P5</f>
        <v/>
      </c>
      <c r="Q21" s="40">
        <f>Q17+Q19+Q14*Q5</f>
        <v/>
      </c>
      <c r="R21" s="40">
        <f>R17+R19+R14*R5</f>
        <v/>
      </c>
      <c r="S21" s="40">
        <f>S17+S19+S14*S5</f>
        <v/>
      </c>
      <c r="T21" s="40">
        <f>T17+T19+T14*T5</f>
        <v/>
      </c>
      <c r="U21" s="40">
        <f>U17+U19+U14*U5</f>
        <v/>
      </c>
      <c r="V21" s="40">
        <f>V17+V19+V14*V5</f>
        <v/>
      </c>
      <c r="W21" s="40">
        <f>W17+W19+W14*W5</f>
        <v/>
      </c>
      <c r="X21" s="40">
        <f>X17+X19+X14*X5</f>
        <v/>
      </c>
      <c r="Y21" s="40">
        <f>Y17+Y19+Y14*Y5</f>
        <v/>
      </c>
      <c r="Z21" s="40">
        <f>Z17+Z19+Z14*Z5</f>
        <v/>
      </c>
    </row>
    <row r="22">
      <c r="A22" s="5" t="inlineStr">
        <is>
          <t>Médicos usando solo Red</t>
        </is>
      </c>
      <c r="B22" s="2" t="n"/>
      <c r="C22" s="40">
        <f>C20-C21</f>
        <v/>
      </c>
      <c r="D22" s="40">
        <f>D20-D21</f>
        <v/>
      </c>
      <c r="E22" s="40">
        <f>E20-E21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  <c r="N22" s="40">
        <f>N20-N21</f>
        <v/>
      </c>
      <c r="O22" s="40">
        <f>O20-O21</f>
        <v/>
      </c>
      <c r="P22" s="40">
        <f>P20-P21</f>
        <v/>
      </c>
      <c r="Q22" s="40">
        <f>Q20-Q21</f>
        <v/>
      </c>
      <c r="R22" s="40">
        <f>R20-R21</f>
        <v/>
      </c>
      <c r="S22" s="40">
        <f>S20-S21</f>
        <v/>
      </c>
      <c r="T22" s="40">
        <f>T20-T21</f>
        <v/>
      </c>
      <c r="U22" s="40">
        <f>U20-U21</f>
        <v/>
      </c>
      <c r="V22" s="40">
        <f>V20-V21</f>
        <v/>
      </c>
      <c r="W22" s="40">
        <f>W20-W21</f>
        <v/>
      </c>
      <c r="X22" s="40">
        <f>X20-X21</f>
        <v/>
      </c>
      <c r="Y22" s="40">
        <f>Y20-Y21</f>
        <v/>
      </c>
      <c r="Z22" s="40">
        <f>Z20-Z21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7" t="inlineStr">
        <is>
          <t>INGRESOS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>
      <c r="A25" s="5" t="inlineStr">
        <is>
          <t>Fundadores</t>
        </is>
      </c>
      <c r="B25" s="2" t="n"/>
      <c r="C25" s="12">
        <f>C14*IF(C5=1,Supuestos!$B$8,Supuestos!$B$7)/(1+Supuestos!$B$10)</f>
        <v/>
      </c>
      <c r="D25" s="12">
        <f>D14*IF(D5=1,Supuestos!$B$8,Supuestos!$B$7)/(1+Supuestos!$B$10)</f>
        <v/>
      </c>
      <c r="E25" s="12">
        <f>E14*IF(E5=1,Supuestos!$B$8,Supuestos!$B$7)/(1+Supuestos!$B$10)</f>
        <v/>
      </c>
      <c r="F25" s="12">
        <f>F14*IF(F5=1,Supuestos!$B$8,Supuestos!$B$7)/(1+Supuestos!$B$10)</f>
        <v/>
      </c>
      <c r="G25" s="12">
        <f>G14*IF(G5=1,Supuestos!$B$8,Supuestos!$B$7)/(1+Supuestos!$B$10)</f>
        <v/>
      </c>
      <c r="H25" s="12">
        <f>H14*IF(H5=1,Supuestos!$B$8,Supuestos!$B$7)/(1+Supuestos!$B$10)</f>
        <v/>
      </c>
      <c r="I25" s="12">
        <f>I14*IF(I5=1,Supuestos!$B$8,Supuestos!$B$7)/(1+Supuestos!$B$10)</f>
        <v/>
      </c>
      <c r="J25" s="12">
        <f>J14*IF(J5=1,Supuestos!$B$8,Supuestos!$B$7)/(1+Supuestos!$B$10)</f>
        <v/>
      </c>
      <c r="K25" s="12">
        <f>K14*IF(K5=1,Supuestos!$B$8,Supuestos!$B$7)/(1+Supuestos!$B$10)</f>
        <v/>
      </c>
      <c r="L25" s="12">
        <f>L14*IF(L5=1,Supuestos!$B$8,Supuestos!$B$7)/(1+Supuestos!$B$10)</f>
        <v/>
      </c>
      <c r="M25" s="12">
        <f>M14*IF(M5=1,Supuestos!$B$8,Supuestos!$B$7)/(1+Supuestos!$B$10)</f>
        <v/>
      </c>
      <c r="N25" s="12">
        <f>N14*IF(N5=1,Supuestos!$B$8,Supuestos!$B$7)/(1+Supuestos!$B$10)</f>
        <v/>
      </c>
      <c r="O25" s="12">
        <f>O14*IF(O5=1,Supuestos!$B$8,Supuestos!$B$7)/(1+Supuestos!$B$10)</f>
        <v/>
      </c>
      <c r="P25" s="12">
        <f>P14*IF(P5=1,Supuestos!$B$8,Supuestos!$B$7)/(1+Supuestos!$B$10)</f>
        <v/>
      </c>
      <c r="Q25" s="12">
        <f>Q14*IF(Q5=1,Supuestos!$B$8,Supuestos!$B$7)/(1+Supuestos!$B$10)</f>
        <v/>
      </c>
      <c r="R25" s="12">
        <f>R14*IF(R5=1,Supuestos!$B$8,Supuestos!$B$7)/(1+Supuestos!$B$10)</f>
        <v/>
      </c>
      <c r="S25" s="12">
        <f>S14*IF(S5=1,Supuestos!$B$8,Supuestos!$B$7)/(1+Supuestos!$B$10)</f>
        <v/>
      </c>
      <c r="T25" s="12">
        <f>T14*IF(T5=1,Supuestos!$B$8,Supuestos!$B$7)/(1+Supuestos!$B$10)</f>
        <v/>
      </c>
      <c r="U25" s="12">
        <f>U14*IF(U5=1,Supuestos!$B$8,Supuestos!$B$7)/(1+Supuestos!$B$10)</f>
        <v/>
      </c>
      <c r="V25" s="12">
        <f>V14*IF(V5=1,Supuestos!$B$8,Supuestos!$B$7)/(1+Supuestos!$B$10)</f>
        <v/>
      </c>
      <c r="W25" s="12">
        <f>W14*IF(W5=1,Supuestos!$B$8,Supuestos!$B$7)/(1+Supuestos!$B$10)</f>
        <v/>
      </c>
      <c r="X25" s="12">
        <f>X14*IF(X5=1,Supuestos!$B$8,Supuestos!$B$7)/(1+Supuestos!$B$10)</f>
        <v/>
      </c>
      <c r="Y25" s="12">
        <f>Y14*IF(Y5=1,Supuestos!$B$8,Supuestos!$B$7)/(1+Supuestos!$B$10)</f>
        <v/>
      </c>
      <c r="Z25" s="12">
        <f>Z14*IF(Z5=1,Supuestos!$B$8,Supuestos!$B$7)/(1+Supuestos!$B$10)</f>
        <v/>
      </c>
    </row>
    <row r="26">
      <c r="A26" s="5" t="inlineStr">
        <is>
          <t>Plan Red</t>
        </is>
      </c>
      <c r="B26" s="2" t="n"/>
      <c r="C26" s="12">
        <f>C16*Supuestos!$B$5/(1+Supuestos!$B$10)</f>
        <v/>
      </c>
      <c r="D26" s="12">
        <f>D16*Supuestos!$B$5/(1+Supuestos!$B$10)</f>
        <v/>
      </c>
      <c r="E26" s="12">
        <f>E16*Supuestos!$B$5/(1+Supuestos!$B$10)</f>
        <v/>
      </c>
      <c r="F26" s="12">
        <f>F16*Supuestos!$B$5/(1+Supuestos!$B$10)</f>
        <v/>
      </c>
      <c r="G26" s="12">
        <f>G16*Supuestos!$B$5/(1+Supuestos!$B$10)</f>
        <v/>
      </c>
      <c r="H26" s="12">
        <f>H16*Supuestos!$B$5/(1+Supuestos!$B$10)</f>
        <v/>
      </c>
      <c r="I26" s="12">
        <f>I16*Supuestos!$B$5/(1+Supuestos!$B$10)</f>
        <v/>
      </c>
      <c r="J26" s="12">
        <f>J16*Supuestos!$B$5/(1+Supuestos!$B$10)</f>
        <v/>
      </c>
      <c r="K26" s="12">
        <f>K16*Supuestos!$B$5/(1+Supuestos!$B$10)</f>
        <v/>
      </c>
      <c r="L26" s="12">
        <f>L16*Supuestos!$B$5/(1+Supuestos!$B$10)</f>
        <v/>
      </c>
      <c r="M26" s="12">
        <f>M16*Supuestos!$B$5/(1+Supuestos!$B$10)</f>
        <v/>
      </c>
      <c r="N26" s="12">
        <f>N16*Supuestos!$B$5/(1+Supuestos!$B$10)</f>
        <v/>
      </c>
      <c r="O26" s="12">
        <f>O16*Supuestos!$B$5/(1+Supuestos!$B$10)</f>
        <v/>
      </c>
      <c r="P26" s="12">
        <f>P16*Supuestos!$B$5/(1+Supuestos!$B$10)</f>
        <v/>
      </c>
      <c r="Q26" s="12">
        <f>Q16*Supuestos!$B$5/(1+Supuestos!$B$10)</f>
        <v/>
      </c>
      <c r="R26" s="12">
        <f>R16*Supuestos!$B$5/(1+Supuestos!$B$10)</f>
        <v/>
      </c>
      <c r="S26" s="12">
        <f>S16*Supuestos!$B$5/(1+Supuestos!$B$10)</f>
        <v/>
      </c>
      <c r="T26" s="12">
        <f>T16*Supuestos!$B$5/(1+Supuestos!$B$10)</f>
        <v/>
      </c>
      <c r="U26" s="12">
        <f>U16*Supuestos!$B$5/(1+Supuestos!$B$10)</f>
        <v/>
      </c>
      <c r="V26" s="12">
        <f>V16*Supuestos!$B$5/(1+Supuestos!$B$10)</f>
        <v/>
      </c>
      <c r="W26" s="12">
        <f>W16*Supuestos!$B$5/(1+Supuestos!$B$10)</f>
        <v/>
      </c>
      <c r="X26" s="12">
        <f>X16*Supuestos!$B$5/(1+Supuestos!$B$10)</f>
        <v/>
      </c>
      <c r="Y26" s="12">
        <f>Y16*Supuestos!$B$5/(1+Supuestos!$B$10)</f>
        <v/>
      </c>
      <c r="Z26" s="12">
        <f>Z16*Supuestos!$B$5/(1+Supuestos!$B$10)</f>
        <v/>
      </c>
    </row>
    <row r="27">
      <c r="A27" s="5" t="inlineStr">
        <is>
          <t>Plan Clínico</t>
        </is>
      </c>
      <c r="B27" s="2" t="n"/>
      <c r="C27" s="12">
        <f>C17*Supuestos!$B$6/(1+Supuestos!$B$10)</f>
        <v/>
      </c>
      <c r="D27" s="12">
        <f>D17*Supuestos!$B$6/(1+Supuestos!$B$10)</f>
        <v/>
      </c>
      <c r="E27" s="12">
        <f>E17*Supuestos!$B$6/(1+Supuestos!$B$10)</f>
        <v/>
      </c>
      <c r="F27" s="12">
        <f>F17*Supuestos!$B$6/(1+Supuestos!$B$10)</f>
        <v/>
      </c>
      <c r="G27" s="12">
        <f>G17*Supuestos!$B$6/(1+Supuestos!$B$10)</f>
        <v/>
      </c>
      <c r="H27" s="12">
        <f>H17*Supuestos!$B$6/(1+Supuestos!$B$10)</f>
        <v/>
      </c>
      <c r="I27" s="12">
        <f>I17*Supuestos!$B$6/(1+Supuestos!$B$10)</f>
        <v/>
      </c>
      <c r="J27" s="12">
        <f>J17*Supuestos!$B$6/(1+Supuestos!$B$10)</f>
        <v/>
      </c>
      <c r="K27" s="12">
        <f>K17*Supuestos!$B$6/(1+Supuestos!$B$10)</f>
        <v/>
      </c>
      <c r="L27" s="12">
        <f>L17*Supuestos!$B$6/(1+Supuestos!$B$10)</f>
        <v/>
      </c>
      <c r="M27" s="12">
        <f>M17*Supuestos!$B$6/(1+Supuestos!$B$10)</f>
        <v/>
      </c>
      <c r="N27" s="12">
        <f>N17*Supuestos!$B$6/(1+Supuestos!$B$10)</f>
        <v/>
      </c>
      <c r="O27" s="12">
        <f>O17*Supuestos!$B$6/(1+Supuestos!$B$10)</f>
        <v/>
      </c>
      <c r="P27" s="12">
        <f>P17*Supuestos!$B$6/(1+Supuestos!$B$10)</f>
        <v/>
      </c>
      <c r="Q27" s="12">
        <f>Q17*Supuestos!$B$6/(1+Supuestos!$B$10)</f>
        <v/>
      </c>
      <c r="R27" s="12">
        <f>R17*Supuestos!$B$6/(1+Supuestos!$B$10)</f>
        <v/>
      </c>
      <c r="S27" s="12">
        <f>S17*Supuestos!$B$6/(1+Supuestos!$B$10)</f>
        <v/>
      </c>
      <c r="T27" s="12">
        <f>T17*Supuestos!$B$6/(1+Supuestos!$B$10)</f>
        <v/>
      </c>
      <c r="U27" s="12">
        <f>U17*Supuestos!$B$6/(1+Supuestos!$B$10)</f>
        <v/>
      </c>
      <c r="V27" s="12">
        <f>V17*Supuestos!$B$6/(1+Supuestos!$B$10)</f>
        <v/>
      </c>
      <c r="W27" s="12">
        <f>W17*Supuestos!$B$6/(1+Supuestos!$B$10)</f>
        <v/>
      </c>
      <c r="X27" s="12">
        <f>X17*Supuestos!$B$6/(1+Supuestos!$B$10)</f>
        <v/>
      </c>
      <c r="Y27" s="12">
        <f>Y17*Supuestos!$B$6/(1+Supuestos!$B$10)</f>
        <v/>
      </c>
      <c r="Z27" s="12">
        <f>Z17*Supuestos!$B$6/(1+Supuestos!$B$10)</f>
        <v/>
      </c>
    </row>
    <row r="28">
      <c r="A28" s="5" t="inlineStr">
        <is>
          <t>Canal Regene</t>
        </is>
      </c>
      <c r="B28" s="2" t="n"/>
      <c r="C28" s="12">
        <f>C19*Supuestos!$B$6*(1-Supuestos!$B$58)/(1+Supuestos!$B$10)</f>
        <v/>
      </c>
      <c r="D28" s="12">
        <f>D19*Supuestos!$B$6*(1-Supuestos!$B$58)/(1+Supuestos!$B$10)</f>
        <v/>
      </c>
      <c r="E28" s="12">
        <f>E19*Supuestos!$B$6*(1-Supuestos!$B$58)/(1+Supuestos!$B$10)</f>
        <v/>
      </c>
      <c r="F28" s="12">
        <f>F19*Supuestos!$B$6*(1-Supuestos!$B$58)/(1+Supuestos!$B$10)</f>
        <v/>
      </c>
      <c r="G28" s="12">
        <f>G19*Supuestos!$B$6*(1-Supuestos!$B$58)/(1+Supuestos!$B$10)</f>
        <v/>
      </c>
      <c r="H28" s="12">
        <f>H19*Supuestos!$B$6*(1-Supuestos!$B$58)/(1+Supuestos!$B$10)</f>
        <v/>
      </c>
      <c r="I28" s="12">
        <f>I19*Supuestos!$B$6*(1-Supuestos!$B$58)/(1+Supuestos!$B$10)</f>
        <v/>
      </c>
      <c r="J28" s="12">
        <f>J19*Supuestos!$B$6*(1-Supuestos!$B$58)/(1+Supuestos!$B$10)</f>
        <v/>
      </c>
      <c r="K28" s="12">
        <f>K19*Supuestos!$B$6*(1-Supuestos!$B$58)/(1+Supuestos!$B$10)</f>
        <v/>
      </c>
      <c r="L28" s="12">
        <f>L19*Supuestos!$B$6*(1-Supuestos!$B$58)/(1+Supuestos!$B$10)</f>
        <v/>
      </c>
      <c r="M28" s="12">
        <f>M19*Supuestos!$B$6*(1-Supuestos!$B$58)/(1+Supuestos!$B$10)</f>
        <v/>
      </c>
      <c r="N28" s="12">
        <f>N19*Supuestos!$B$6*(1-Supuestos!$B$58)/(1+Supuestos!$B$10)</f>
        <v/>
      </c>
      <c r="O28" s="12">
        <f>O19*Supuestos!$B$6*(1-Supuestos!$B$58)/(1+Supuestos!$B$10)</f>
        <v/>
      </c>
      <c r="P28" s="12">
        <f>P19*Supuestos!$B$6*(1-Supuestos!$B$58)/(1+Supuestos!$B$10)</f>
        <v/>
      </c>
      <c r="Q28" s="12">
        <f>Q19*Supuestos!$B$6*(1-Supuestos!$B$58)/(1+Supuestos!$B$10)</f>
        <v/>
      </c>
      <c r="R28" s="12">
        <f>R19*Supuestos!$B$6*(1-Supuestos!$B$58)/(1+Supuestos!$B$10)</f>
        <v/>
      </c>
      <c r="S28" s="12">
        <f>S19*Supuestos!$B$6*(1-Supuestos!$B$58)/(1+Supuestos!$B$10)</f>
        <v/>
      </c>
      <c r="T28" s="12">
        <f>T19*Supuestos!$B$6*(1-Supuestos!$B$58)/(1+Supuestos!$B$10)</f>
        <v/>
      </c>
      <c r="U28" s="12">
        <f>U19*Supuestos!$B$6*(1-Supuestos!$B$58)/(1+Supuestos!$B$10)</f>
        <v/>
      </c>
      <c r="V28" s="12">
        <f>V19*Supuestos!$B$6*(1-Supuestos!$B$58)/(1+Supuestos!$B$10)</f>
        <v/>
      </c>
      <c r="W28" s="12">
        <f>W19*Supuestos!$B$6*(1-Supuestos!$B$58)/(1+Supuestos!$B$10)</f>
        <v/>
      </c>
      <c r="X28" s="12">
        <f>X19*Supuestos!$B$6*(1-Supuestos!$B$58)/(1+Supuestos!$B$10)</f>
        <v/>
      </c>
      <c r="Y28" s="12">
        <f>Y19*Supuestos!$B$6*(1-Supuestos!$B$58)/(1+Supuestos!$B$10)</f>
        <v/>
      </c>
      <c r="Z28" s="12">
        <f>Z19*Supuestos!$B$6*(1-Supuestos!$B$58)/(1+Supuestos!$B$10)</f>
        <v/>
      </c>
    </row>
    <row r="29">
      <c r="A29" s="5" t="inlineStr">
        <is>
          <t>GB adicionales cobrados (médicos de alto consumo)</t>
        </is>
      </c>
      <c r="B29" s="2" t="n"/>
      <c r="C29" s="40">
        <f>C21*Supuestos!$B$25*Supuestos!$B$26</f>
        <v/>
      </c>
      <c r="D29" s="40">
        <f>D21*Supuestos!$B$25*Supuestos!$B$26</f>
        <v/>
      </c>
      <c r="E29" s="40">
        <f>E21*Supuestos!$B$25*Supuestos!$B$26</f>
        <v/>
      </c>
      <c r="F29" s="40">
        <f>F21*Supuestos!$B$25*Supuestos!$B$26</f>
        <v/>
      </c>
      <c r="G29" s="40">
        <f>G21*Supuestos!$B$25*Supuestos!$B$26</f>
        <v/>
      </c>
      <c r="H29" s="40">
        <f>H21*Supuestos!$B$25*Supuestos!$B$26</f>
        <v/>
      </c>
      <c r="I29" s="40">
        <f>I21*Supuestos!$B$25*Supuestos!$B$26</f>
        <v/>
      </c>
      <c r="J29" s="40">
        <f>J21*Supuestos!$B$25*Supuestos!$B$26</f>
        <v/>
      </c>
      <c r="K29" s="40">
        <f>K21*Supuestos!$B$25*Supuestos!$B$26</f>
        <v/>
      </c>
      <c r="L29" s="40">
        <f>L21*Supuestos!$B$25*Supuestos!$B$26</f>
        <v/>
      </c>
      <c r="M29" s="40">
        <f>M21*Supuestos!$B$25*Supuestos!$B$26</f>
        <v/>
      </c>
      <c r="N29" s="40">
        <f>N21*Supuestos!$B$25*Supuestos!$B$26</f>
        <v/>
      </c>
      <c r="O29" s="40">
        <f>O21*Supuestos!$B$25*Supuestos!$B$26</f>
        <v/>
      </c>
      <c r="P29" s="40">
        <f>P21*Supuestos!$B$25*Supuestos!$B$26</f>
        <v/>
      </c>
      <c r="Q29" s="40">
        <f>Q21*Supuestos!$B$25*Supuestos!$B$26</f>
        <v/>
      </c>
      <c r="R29" s="40">
        <f>R21*Supuestos!$B$25*Supuestos!$B$26</f>
        <v/>
      </c>
      <c r="S29" s="40">
        <f>S21*Supuestos!$B$25*Supuestos!$B$26</f>
        <v/>
      </c>
      <c r="T29" s="40">
        <f>T21*Supuestos!$B$25*Supuestos!$B$26</f>
        <v/>
      </c>
      <c r="U29" s="40">
        <f>U21*Supuestos!$B$25*Supuestos!$B$26</f>
        <v/>
      </c>
      <c r="V29" s="40">
        <f>V21*Supuestos!$B$25*Supuestos!$B$26</f>
        <v/>
      </c>
      <c r="W29" s="40">
        <f>W21*Supuestos!$B$25*Supuestos!$B$26</f>
        <v/>
      </c>
      <c r="X29" s="40">
        <f>X21*Supuestos!$B$25*Supuestos!$B$26</f>
        <v/>
      </c>
      <c r="Y29" s="40">
        <f>Y21*Supuestos!$B$25*Supuestos!$B$26</f>
        <v/>
      </c>
      <c r="Z29" s="40">
        <f>Z21*Supuestos!$B$25*Supuestos!$B$26</f>
        <v/>
      </c>
    </row>
    <row r="30">
      <c r="A30" s="5" t="inlineStr">
        <is>
          <t>GB guardados en total (se conservan 5 años, NOM-004)</t>
        </is>
      </c>
      <c r="B30" s="2" t="n"/>
      <c r="C30" s="40">
        <f>C21*Supuestos!$B$24+C29</f>
        <v/>
      </c>
      <c r="D30" s="40">
        <f>C30-C29+D21*Supuestos!$B$24+D29</f>
        <v/>
      </c>
      <c r="E30" s="40">
        <f>D30-D29+E21*Supuestos!$B$24+E29</f>
        <v/>
      </c>
      <c r="F30" s="40">
        <f>E30-E29+F21*Supuestos!$B$24+F29</f>
        <v/>
      </c>
      <c r="G30" s="40">
        <f>F30-F29+G21*Supuestos!$B$24+G29</f>
        <v/>
      </c>
      <c r="H30" s="40">
        <f>G30-G29+H21*Supuestos!$B$24+H29</f>
        <v/>
      </c>
      <c r="I30" s="40">
        <f>H30-H29+I21*Supuestos!$B$24+I29</f>
        <v/>
      </c>
      <c r="J30" s="40">
        <f>I30-I29+J21*Supuestos!$B$24+J29</f>
        <v/>
      </c>
      <c r="K30" s="40">
        <f>J30-J29+K21*Supuestos!$B$24+K29</f>
        <v/>
      </c>
      <c r="L30" s="40">
        <f>K30-K29+L21*Supuestos!$B$24+L29</f>
        <v/>
      </c>
      <c r="M30" s="40">
        <f>L30-L29+M21*Supuestos!$B$24+M29</f>
        <v/>
      </c>
      <c r="N30" s="40">
        <f>M30-M29+N21*Supuestos!$B$24+N29</f>
        <v/>
      </c>
      <c r="O30" s="40">
        <f>N30-N29+O21*Supuestos!$B$24+O29</f>
        <v/>
      </c>
      <c r="P30" s="40">
        <f>O30-O29+P21*Supuestos!$B$24+P29</f>
        <v/>
      </c>
      <c r="Q30" s="40">
        <f>P30-P29+Q21*Supuestos!$B$24+Q29</f>
        <v/>
      </c>
      <c r="R30" s="40">
        <f>Q30-Q29+R21*Supuestos!$B$24+R29</f>
        <v/>
      </c>
      <c r="S30" s="40">
        <f>R30-R29+S21*Supuestos!$B$24+S29</f>
        <v/>
      </c>
      <c r="T30" s="40">
        <f>S30-S29+T21*Supuestos!$B$24+T29</f>
        <v/>
      </c>
      <c r="U30" s="40">
        <f>T30-T29+U21*Supuestos!$B$24+U29</f>
        <v/>
      </c>
      <c r="V30" s="40">
        <f>U30-U29+V21*Supuestos!$B$24+V29</f>
        <v/>
      </c>
      <c r="W30" s="40">
        <f>V30-V29+W21*Supuestos!$B$24+W29</f>
        <v/>
      </c>
      <c r="X30" s="40">
        <f>W30-W29+X21*Supuestos!$B$24+X29</f>
        <v/>
      </c>
      <c r="Y30" s="40">
        <f>X30-X29+Y21*Supuestos!$B$24+Y29</f>
        <v/>
      </c>
      <c r="Z30" s="40">
        <f>Y30-Y29+Z21*Supuestos!$B$24+Z29</f>
        <v/>
      </c>
    </row>
    <row r="31">
      <c r="A31" s="5" t="inlineStr">
        <is>
          <t>Almacenamiento adicional</t>
        </is>
      </c>
      <c r="B31" s="2" t="n"/>
      <c r="C31" s="12">
        <f>C29*Supuestos!$B$23/(1+Supuestos!$B$10)</f>
        <v/>
      </c>
      <c r="D31" s="12">
        <f>D29*Supuestos!$B$23/(1+Supuestos!$B$10)</f>
        <v/>
      </c>
      <c r="E31" s="12">
        <f>E29*Supuestos!$B$23/(1+Supuestos!$B$10)</f>
        <v/>
      </c>
      <c r="F31" s="12">
        <f>F29*Supuestos!$B$23/(1+Supuestos!$B$10)</f>
        <v/>
      </c>
      <c r="G31" s="12">
        <f>G29*Supuestos!$B$23/(1+Supuestos!$B$10)</f>
        <v/>
      </c>
      <c r="H31" s="12">
        <f>H29*Supuestos!$B$23/(1+Supuestos!$B$10)</f>
        <v/>
      </c>
      <c r="I31" s="12">
        <f>I29*Supuestos!$B$23/(1+Supuestos!$B$10)</f>
        <v/>
      </c>
      <c r="J31" s="12">
        <f>J29*Supuestos!$B$23/(1+Supuestos!$B$10)</f>
        <v/>
      </c>
      <c r="K31" s="12">
        <f>K29*Supuestos!$B$23/(1+Supuestos!$B$10)</f>
        <v/>
      </c>
      <c r="L31" s="12">
        <f>L29*Supuestos!$B$23/(1+Supuestos!$B$10)</f>
        <v/>
      </c>
      <c r="M31" s="12">
        <f>M29*Supuestos!$B$23/(1+Supuestos!$B$10)</f>
        <v/>
      </c>
      <c r="N31" s="12">
        <f>N29*Supuestos!$B$23/(1+Supuestos!$B$10)</f>
        <v/>
      </c>
      <c r="O31" s="12">
        <f>O29*Supuestos!$B$23/(1+Supuestos!$B$10)</f>
        <v/>
      </c>
      <c r="P31" s="12">
        <f>P29*Supuestos!$B$23/(1+Supuestos!$B$10)</f>
        <v/>
      </c>
      <c r="Q31" s="12">
        <f>Q29*Supuestos!$B$23/(1+Supuestos!$B$10)</f>
        <v/>
      </c>
      <c r="R31" s="12">
        <f>R29*Supuestos!$B$23/(1+Supuestos!$B$10)</f>
        <v/>
      </c>
      <c r="S31" s="12">
        <f>S29*Supuestos!$B$23/(1+Supuestos!$B$10)</f>
        <v/>
      </c>
      <c r="T31" s="12">
        <f>T29*Supuestos!$B$23/(1+Supuestos!$B$10)</f>
        <v/>
      </c>
      <c r="U31" s="12">
        <f>U29*Supuestos!$B$23/(1+Supuestos!$B$10)</f>
        <v/>
      </c>
      <c r="V31" s="12">
        <f>V29*Supuestos!$B$23/(1+Supuestos!$B$10)</f>
        <v/>
      </c>
      <c r="W31" s="12">
        <f>W29*Supuestos!$B$23/(1+Supuestos!$B$10)</f>
        <v/>
      </c>
      <c r="X31" s="12">
        <f>X29*Supuestos!$B$23/(1+Supuestos!$B$10)</f>
        <v/>
      </c>
      <c r="Y31" s="12">
        <f>Y29*Supuestos!$B$23/(1+Supuestos!$B$10)</f>
        <v/>
      </c>
      <c r="Z31" s="12">
        <f>Z29*Supuestos!$B$23/(1+Supuestos!$B$10)</f>
        <v/>
      </c>
    </row>
    <row r="32">
      <c r="A32" s="41" t="inlineStr">
        <is>
          <t>Ingreso recurrente mensual (MRR)</t>
        </is>
      </c>
      <c r="B32" s="42" t="n"/>
      <c r="C32" s="43">
        <f>C25+C26+C27+C28+C31</f>
        <v/>
      </c>
      <c r="D32" s="43">
        <f>D25+D26+D27+D28+D31</f>
        <v/>
      </c>
      <c r="E32" s="43">
        <f>E25+E26+E27+E28+E31</f>
        <v/>
      </c>
      <c r="F32" s="43">
        <f>F25+F26+F27+F28+F31</f>
        <v/>
      </c>
      <c r="G32" s="43">
        <f>G25+G26+G27+G28+G31</f>
        <v/>
      </c>
      <c r="H32" s="43">
        <f>H25+H26+H27+H28+H31</f>
        <v/>
      </c>
      <c r="I32" s="43">
        <f>I25+I26+I27+I28+I31</f>
        <v/>
      </c>
      <c r="J32" s="43">
        <f>J25+J26+J27+J28+J31</f>
        <v/>
      </c>
      <c r="K32" s="43">
        <f>K25+K26+K27+K28+K31</f>
        <v/>
      </c>
      <c r="L32" s="43">
        <f>L25+L26+L27+L28+L31</f>
        <v/>
      </c>
      <c r="M32" s="43">
        <f>M25+M26+M27+M28+M31</f>
        <v/>
      </c>
      <c r="N32" s="43">
        <f>N25+N26+N27+N28+N31</f>
        <v/>
      </c>
      <c r="O32" s="43">
        <f>O25+O26+O27+O28+O31</f>
        <v/>
      </c>
      <c r="P32" s="43">
        <f>P25+P26+P27+P28+P31</f>
        <v/>
      </c>
      <c r="Q32" s="43">
        <f>Q25+Q26+Q27+Q28+Q31</f>
        <v/>
      </c>
      <c r="R32" s="43">
        <f>R25+R26+R27+R28+R31</f>
        <v/>
      </c>
      <c r="S32" s="43">
        <f>S25+S26+S27+S28+S31</f>
        <v/>
      </c>
      <c r="T32" s="43">
        <f>T25+T26+T27+T28+T31</f>
        <v/>
      </c>
      <c r="U32" s="43">
        <f>U25+U26+U27+U28+U31</f>
        <v/>
      </c>
      <c r="V32" s="43">
        <f>V25+V26+V27+V28+V31</f>
        <v/>
      </c>
      <c r="W32" s="43">
        <f>W25+W26+W27+W28+W31</f>
        <v/>
      </c>
      <c r="X32" s="43">
        <f>X25+X26+X27+X28+X31</f>
        <v/>
      </c>
      <c r="Y32" s="43">
        <f>Y25+Y26+Y27+Y28+Y31</f>
        <v/>
      </c>
      <c r="Z32" s="43">
        <f>Z25+Z26+Z27+Z28+Z31</f>
        <v/>
      </c>
    </row>
    <row r="33">
      <c r="A33" s="5" t="inlineStr">
        <is>
          <t>Migraciones vendidas</t>
        </is>
      </c>
      <c r="B33" s="2" t="n"/>
      <c r="C33" s="40">
        <f>(C12+C15+C18)*Supuestos!$C$68</f>
        <v/>
      </c>
      <c r="D33" s="40">
        <f>(D12+D15+D18)*Supuestos!$C$68</f>
        <v/>
      </c>
      <c r="E33" s="40">
        <f>(E12+E15+E18)*Supuestos!$C$68</f>
        <v/>
      </c>
      <c r="F33" s="40">
        <f>(F12+F15+F18)*Supuestos!$C$68</f>
        <v/>
      </c>
      <c r="G33" s="40">
        <f>(G12+G15+G18)*Supuestos!$C$68</f>
        <v/>
      </c>
      <c r="H33" s="40">
        <f>(H12+H15+H18)*Supuestos!$C$68</f>
        <v/>
      </c>
      <c r="I33" s="40">
        <f>(I12+I15+I18)*Supuestos!$C$68</f>
        <v/>
      </c>
      <c r="J33" s="40">
        <f>(J12+J15+J18)*Supuestos!$C$68</f>
        <v/>
      </c>
      <c r="K33" s="40">
        <f>(K12+K15+K18)*Supuestos!$C$68</f>
        <v/>
      </c>
      <c r="L33" s="40">
        <f>(L12+L15+L18)*Supuestos!$C$68</f>
        <v/>
      </c>
      <c r="M33" s="40">
        <f>(M12+M15+M18)*Supuestos!$C$68</f>
        <v/>
      </c>
      <c r="N33" s="40">
        <f>(N12+N15+N18)*Supuestos!$C$68</f>
        <v/>
      </c>
      <c r="O33" s="40">
        <f>(O12+O15+O18)*Supuestos!$C$68</f>
        <v/>
      </c>
      <c r="P33" s="40">
        <f>(P12+P15+P18)*Supuestos!$C$68</f>
        <v/>
      </c>
      <c r="Q33" s="40">
        <f>(Q12+Q15+Q18)*Supuestos!$C$68</f>
        <v/>
      </c>
      <c r="R33" s="40">
        <f>(R12+R15+R18)*Supuestos!$C$68</f>
        <v/>
      </c>
      <c r="S33" s="40">
        <f>(S12+S15+S18)*Supuestos!$C$68</f>
        <v/>
      </c>
      <c r="T33" s="40">
        <f>(T12+T15+T18)*Supuestos!$C$68</f>
        <v/>
      </c>
      <c r="U33" s="40">
        <f>(U12+U15+U18)*Supuestos!$C$68</f>
        <v/>
      </c>
      <c r="V33" s="40">
        <f>(V12+V15+V18)*Supuestos!$C$68</f>
        <v/>
      </c>
      <c r="W33" s="40">
        <f>(W12+W15+W18)*Supuestos!$C$68</f>
        <v/>
      </c>
      <c r="X33" s="40">
        <f>(X12+X15+X18)*Supuestos!$C$68</f>
        <v/>
      </c>
      <c r="Y33" s="40">
        <f>(Y12+Y15+Y18)*Supuestos!$C$68</f>
        <v/>
      </c>
      <c r="Z33" s="40">
        <f>(Z12+Z15+Z18)*Supuestos!$C$68</f>
        <v/>
      </c>
    </row>
    <row r="34">
      <c r="A34" s="5" t="inlineStr">
        <is>
          <t>Ingreso por migraciones</t>
        </is>
      </c>
      <c r="B34" s="2" t="n"/>
      <c r="C34" s="12">
        <f>C33*Supuestos!$B$46*Supuestos!$B$11/(1+Supuestos!$B$10)</f>
        <v/>
      </c>
      <c r="D34" s="12">
        <f>D33*Supuestos!$B$46*Supuestos!$B$11/(1+Supuestos!$B$10)</f>
        <v/>
      </c>
      <c r="E34" s="12">
        <f>E33*Supuestos!$B$46*Supuestos!$B$11/(1+Supuestos!$B$10)</f>
        <v/>
      </c>
      <c r="F34" s="12">
        <f>F33*Supuestos!$B$46*Supuestos!$B$11/(1+Supuestos!$B$10)</f>
        <v/>
      </c>
      <c r="G34" s="12">
        <f>G33*Supuestos!$B$46*Supuestos!$B$11/(1+Supuestos!$B$10)</f>
        <v/>
      </c>
      <c r="H34" s="12">
        <f>H33*Supuestos!$B$46*Supuestos!$B$11/(1+Supuestos!$B$10)</f>
        <v/>
      </c>
      <c r="I34" s="12">
        <f>I33*Supuestos!$B$46*Supuestos!$B$11/(1+Supuestos!$B$10)</f>
        <v/>
      </c>
      <c r="J34" s="12">
        <f>J33*Supuestos!$B$46*Supuestos!$B$11/(1+Supuestos!$B$10)</f>
        <v/>
      </c>
      <c r="K34" s="12">
        <f>K33*Supuestos!$B$46*Supuestos!$B$11/(1+Supuestos!$B$10)</f>
        <v/>
      </c>
      <c r="L34" s="12">
        <f>L33*Supuestos!$B$46*Supuestos!$B$11/(1+Supuestos!$B$10)</f>
        <v/>
      </c>
      <c r="M34" s="12">
        <f>M33*Supuestos!$B$46*Supuestos!$B$11/(1+Supuestos!$B$10)</f>
        <v/>
      </c>
      <c r="N34" s="12">
        <f>N33*Supuestos!$B$46*Supuestos!$B$11/(1+Supuestos!$B$10)</f>
        <v/>
      </c>
      <c r="O34" s="12">
        <f>O33*Supuestos!$B$46*Supuestos!$B$11/(1+Supuestos!$B$10)</f>
        <v/>
      </c>
      <c r="P34" s="12">
        <f>P33*Supuestos!$B$46*Supuestos!$B$11/(1+Supuestos!$B$10)</f>
        <v/>
      </c>
      <c r="Q34" s="12">
        <f>Q33*Supuestos!$B$46*Supuestos!$B$11/(1+Supuestos!$B$10)</f>
        <v/>
      </c>
      <c r="R34" s="12">
        <f>R33*Supuestos!$B$46*Supuestos!$B$11/(1+Supuestos!$B$10)</f>
        <v/>
      </c>
      <c r="S34" s="12">
        <f>S33*Supuestos!$B$46*Supuestos!$B$11/(1+Supuestos!$B$10)</f>
        <v/>
      </c>
      <c r="T34" s="12">
        <f>T33*Supuestos!$B$46*Supuestos!$B$11/(1+Supuestos!$B$10)</f>
        <v/>
      </c>
      <c r="U34" s="12">
        <f>U33*Supuestos!$B$46*Supuestos!$B$11/(1+Supuestos!$B$10)</f>
        <v/>
      </c>
      <c r="V34" s="12">
        <f>V33*Supuestos!$B$46*Supuestos!$B$11/(1+Supuestos!$B$10)</f>
        <v/>
      </c>
      <c r="W34" s="12">
        <f>W33*Supuestos!$B$46*Supuestos!$B$11/(1+Supuestos!$B$10)</f>
        <v/>
      </c>
      <c r="X34" s="12">
        <f>X33*Supuestos!$B$46*Supuestos!$B$11/(1+Supuestos!$B$10)</f>
        <v/>
      </c>
      <c r="Y34" s="12">
        <f>Y33*Supuestos!$B$46*Supuestos!$B$11/(1+Supuestos!$B$10)</f>
        <v/>
      </c>
      <c r="Z34" s="12">
        <f>Z33*Supuestos!$B$46*Supuestos!$B$11/(1+Supuestos!$B$10)</f>
        <v/>
      </c>
    </row>
    <row r="35">
      <c r="A35" s="41" t="inlineStr">
        <is>
          <t>INGRESO TOTAL</t>
        </is>
      </c>
      <c r="B35" s="42" t="n"/>
      <c r="C35" s="43">
        <f>C32+C34</f>
        <v/>
      </c>
      <c r="D35" s="43">
        <f>D32+D34</f>
        <v/>
      </c>
      <c r="E35" s="43">
        <f>E32+E34</f>
        <v/>
      </c>
      <c r="F35" s="43">
        <f>F32+F34</f>
        <v/>
      </c>
      <c r="G35" s="43">
        <f>G32+G34</f>
        <v/>
      </c>
      <c r="H35" s="43">
        <f>H32+H34</f>
        <v/>
      </c>
      <c r="I35" s="43">
        <f>I32+I34</f>
        <v/>
      </c>
      <c r="J35" s="43">
        <f>J32+J34</f>
        <v/>
      </c>
      <c r="K35" s="43">
        <f>K32+K34</f>
        <v/>
      </c>
      <c r="L35" s="43">
        <f>L32+L34</f>
        <v/>
      </c>
      <c r="M35" s="43">
        <f>M32+M34</f>
        <v/>
      </c>
      <c r="N35" s="43">
        <f>N32+N34</f>
        <v/>
      </c>
      <c r="O35" s="43">
        <f>O32+O34</f>
        <v/>
      </c>
      <c r="P35" s="43">
        <f>P32+P34</f>
        <v/>
      </c>
      <c r="Q35" s="43">
        <f>Q32+Q34</f>
        <v/>
      </c>
      <c r="R35" s="43">
        <f>R32+R34</f>
        <v/>
      </c>
      <c r="S35" s="43">
        <f>S32+S34</f>
        <v/>
      </c>
      <c r="T35" s="43">
        <f>T32+T34</f>
        <v/>
      </c>
      <c r="U35" s="43">
        <f>U32+U34</f>
        <v/>
      </c>
      <c r="V35" s="43">
        <f>V32+V34</f>
        <v/>
      </c>
      <c r="W35" s="43">
        <f>W32+W34</f>
        <v/>
      </c>
      <c r="X35" s="43">
        <f>X32+X34</f>
        <v/>
      </c>
      <c r="Y35" s="43">
        <f>Y32+Y34</f>
        <v/>
      </c>
      <c r="Z35" s="43">
        <f>Z32+Z34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7" t="inlineStr">
        <is>
          <t>COSTOS VARIABLES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</row>
    <row r="38">
      <c r="A38" s="13" t="inlineStr">
        <is>
          <t>IA (NOVA)</t>
        </is>
      </c>
      <c r="B38" s="2" t="n"/>
      <c r="C38" s="12">
        <f>(C22*Supuestos!$B$17+C21*Supuestos!$B$18)*Supuestos!$B$14</f>
        <v/>
      </c>
      <c r="D38" s="12">
        <f>(D22*Supuestos!$B$17+D21*Supuestos!$B$18)*Supuestos!$B$14</f>
        <v/>
      </c>
      <c r="E38" s="12">
        <f>(E22*Supuestos!$B$17+E21*Supuestos!$B$18)*Supuestos!$B$14</f>
        <v/>
      </c>
      <c r="F38" s="12">
        <f>(F22*Supuestos!$B$17+F21*Supuestos!$B$18)*Supuestos!$B$14</f>
        <v/>
      </c>
      <c r="G38" s="12">
        <f>(G22*Supuestos!$B$17+G21*Supuestos!$B$18)*Supuestos!$B$14</f>
        <v/>
      </c>
      <c r="H38" s="12">
        <f>(H22*Supuestos!$B$17+H21*Supuestos!$B$18)*Supuestos!$B$14</f>
        <v/>
      </c>
      <c r="I38" s="12">
        <f>(I22*Supuestos!$B$17+I21*Supuestos!$B$18)*Supuestos!$B$14</f>
        <v/>
      </c>
      <c r="J38" s="12">
        <f>(J22*Supuestos!$B$17+J21*Supuestos!$B$18)*Supuestos!$B$14</f>
        <v/>
      </c>
      <c r="K38" s="12">
        <f>(K22*Supuestos!$B$17+K21*Supuestos!$B$18)*Supuestos!$B$14</f>
        <v/>
      </c>
      <c r="L38" s="12">
        <f>(L22*Supuestos!$B$17+L21*Supuestos!$B$18)*Supuestos!$B$14</f>
        <v/>
      </c>
      <c r="M38" s="12">
        <f>(M22*Supuestos!$B$17+M21*Supuestos!$B$18)*Supuestos!$B$14</f>
        <v/>
      </c>
      <c r="N38" s="12">
        <f>(N22*Supuestos!$B$17+N21*Supuestos!$B$18)*Supuestos!$B$14</f>
        <v/>
      </c>
      <c r="O38" s="12">
        <f>(O22*Supuestos!$B$17+O21*Supuestos!$B$18)*Supuestos!$B$14</f>
        <v/>
      </c>
      <c r="P38" s="12">
        <f>(P22*Supuestos!$B$17+P21*Supuestos!$B$18)*Supuestos!$B$14</f>
        <v/>
      </c>
      <c r="Q38" s="12">
        <f>(Q22*Supuestos!$B$17+Q21*Supuestos!$B$18)*Supuestos!$B$14</f>
        <v/>
      </c>
      <c r="R38" s="12">
        <f>(R22*Supuestos!$B$17+R21*Supuestos!$B$18)*Supuestos!$B$14</f>
        <v/>
      </c>
      <c r="S38" s="12">
        <f>(S22*Supuestos!$B$17+S21*Supuestos!$B$18)*Supuestos!$B$14</f>
        <v/>
      </c>
      <c r="T38" s="12">
        <f>(T22*Supuestos!$B$17+T21*Supuestos!$B$18)*Supuestos!$B$14</f>
        <v/>
      </c>
      <c r="U38" s="12">
        <f>(U22*Supuestos!$B$17+U21*Supuestos!$B$18)*Supuestos!$B$14</f>
        <v/>
      </c>
      <c r="V38" s="12">
        <f>(V22*Supuestos!$B$17+V21*Supuestos!$B$18)*Supuestos!$B$14</f>
        <v/>
      </c>
      <c r="W38" s="12">
        <f>(W22*Supuestos!$B$17+W21*Supuestos!$B$18)*Supuestos!$B$14</f>
        <v/>
      </c>
      <c r="X38" s="12">
        <f>(X22*Supuestos!$B$17+X21*Supuestos!$B$18)*Supuestos!$B$14</f>
        <v/>
      </c>
      <c r="Y38" s="12">
        <f>(Y22*Supuestos!$B$17+Y21*Supuestos!$B$18)*Supuestos!$B$14</f>
        <v/>
      </c>
      <c r="Z38" s="12">
        <f>(Z22*Supuestos!$B$17+Z21*Supuestos!$B$18)*Supuestos!$B$14</f>
        <v/>
      </c>
    </row>
    <row r="39">
      <c r="A39" s="5" t="inlineStr">
        <is>
          <t>Almacenamiento (2 copias)</t>
        </is>
      </c>
      <c r="B39" s="2" t="n"/>
      <c r="C39" s="12">
        <f>C30*(Supuestos!$B$27+Supuestos!$B$28)*Supuestos!$B$14</f>
        <v/>
      </c>
      <c r="D39" s="12">
        <f>D30*(Supuestos!$B$27+Supuestos!$B$28)*Supuestos!$B$14</f>
        <v/>
      </c>
      <c r="E39" s="12">
        <f>E30*(Supuestos!$B$27+Supuestos!$B$28)*Supuestos!$B$14</f>
        <v/>
      </c>
      <c r="F39" s="12">
        <f>F30*(Supuestos!$B$27+Supuestos!$B$28)*Supuestos!$B$14</f>
        <v/>
      </c>
      <c r="G39" s="12">
        <f>G30*(Supuestos!$B$27+Supuestos!$B$28)*Supuestos!$B$14</f>
        <v/>
      </c>
      <c r="H39" s="12">
        <f>H30*(Supuestos!$B$27+Supuestos!$B$28)*Supuestos!$B$14</f>
        <v/>
      </c>
      <c r="I39" s="12">
        <f>I30*(Supuestos!$B$27+Supuestos!$B$28)*Supuestos!$B$14</f>
        <v/>
      </c>
      <c r="J39" s="12">
        <f>J30*(Supuestos!$B$27+Supuestos!$B$28)*Supuestos!$B$14</f>
        <v/>
      </c>
      <c r="K39" s="12">
        <f>K30*(Supuestos!$B$27+Supuestos!$B$28)*Supuestos!$B$14</f>
        <v/>
      </c>
      <c r="L39" s="12">
        <f>L30*(Supuestos!$B$27+Supuestos!$B$28)*Supuestos!$B$14</f>
        <v/>
      </c>
      <c r="M39" s="12">
        <f>M30*(Supuestos!$B$27+Supuestos!$B$28)*Supuestos!$B$14</f>
        <v/>
      </c>
      <c r="N39" s="12">
        <f>N30*(Supuestos!$B$27+Supuestos!$B$28)*Supuestos!$B$14</f>
        <v/>
      </c>
      <c r="O39" s="12">
        <f>O30*(Supuestos!$B$27+Supuestos!$B$28)*Supuestos!$B$14</f>
        <v/>
      </c>
      <c r="P39" s="12">
        <f>P30*(Supuestos!$B$27+Supuestos!$B$28)*Supuestos!$B$14</f>
        <v/>
      </c>
      <c r="Q39" s="12">
        <f>Q30*(Supuestos!$B$27+Supuestos!$B$28)*Supuestos!$B$14</f>
        <v/>
      </c>
      <c r="R39" s="12">
        <f>R30*(Supuestos!$B$27+Supuestos!$B$28)*Supuestos!$B$14</f>
        <v/>
      </c>
      <c r="S39" s="12">
        <f>S30*(Supuestos!$B$27+Supuestos!$B$28)*Supuestos!$B$14</f>
        <v/>
      </c>
      <c r="T39" s="12">
        <f>T30*(Supuestos!$B$27+Supuestos!$B$28)*Supuestos!$B$14</f>
        <v/>
      </c>
      <c r="U39" s="12">
        <f>U30*(Supuestos!$B$27+Supuestos!$B$28)*Supuestos!$B$14</f>
        <v/>
      </c>
      <c r="V39" s="12">
        <f>V30*(Supuestos!$B$27+Supuestos!$B$28)*Supuestos!$B$14</f>
        <v/>
      </c>
      <c r="W39" s="12">
        <f>W30*(Supuestos!$B$27+Supuestos!$B$28)*Supuestos!$B$14</f>
        <v/>
      </c>
      <c r="X39" s="12">
        <f>X30*(Supuestos!$B$27+Supuestos!$B$28)*Supuestos!$B$14</f>
        <v/>
      </c>
      <c r="Y39" s="12">
        <f>Y30*(Supuestos!$B$27+Supuestos!$B$28)*Supuestos!$B$14</f>
        <v/>
      </c>
      <c r="Z39" s="12">
        <f>Z30*(Supuestos!$B$27+Supuestos!$B$28)*Supuestos!$B$14</f>
        <v/>
      </c>
    </row>
    <row r="40">
      <c r="A40" s="5" t="inlineStr">
        <is>
          <t>Comisión de cobro (con IVA de la comisión)</t>
        </is>
      </c>
      <c r="B40" s="2" t="n"/>
      <c r="C40" s="12">
        <f>((C20+C33)*Supuestos!$B$32+C35*(1+Supuestos!$B$10)*Supuestos!$B$31)*(1+Supuestos!$B$10)</f>
        <v/>
      </c>
      <c r="D40" s="12">
        <f>((D20+D33)*Supuestos!$B$32+D35*(1+Supuestos!$B$10)*Supuestos!$B$31)*(1+Supuestos!$B$10)</f>
        <v/>
      </c>
      <c r="E40" s="12">
        <f>((E20+E33)*Supuestos!$B$32+E35*(1+Supuestos!$B$10)*Supuestos!$B$31)*(1+Supuestos!$B$10)</f>
        <v/>
      </c>
      <c r="F40" s="12">
        <f>((F20+F33)*Supuestos!$B$32+F35*(1+Supuestos!$B$10)*Supuestos!$B$31)*(1+Supuestos!$B$10)</f>
        <v/>
      </c>
      <c r="G40" s="12">
        <f>((G20+G33)*Supuestos!$B$32+G35*(1+Supuestos!$B$10)*Supuestos!$B$31)*(1+Supuestos!$B$10)</f>
        <v/>
      </c>
      <c r="H40" s="12">
        <f>((H20+H33)*Supuestos!$B$32+H35*(1+Supuestos!$B$10)*Supuestos!$B$31)*(1+Supuestos!$B$10)</f>
        <v/>
      </c>
      <c r="I40" s="12">
        <f>((I20+I33)*Supuestos!$B$32+I35*(1+Supuestos!$B$10)*Supuestos!$B$31)*(1+Supuestos!$B$10)</f>
        <v/>
      </c>
      <c r="J40" s="12">
        <f>((J20+J33)*Supuestos!$B$32+J35*(1+Supuestos!$B$10)*Supuestos!$B$31)*(1+Supuestos!$B$10)</f>
        <v/>
      </c>
      <c r="K40" s="12">
        <f>((K20+K33)*Supuestos!$B$32+K35*(1+Supuestos!$B$10)*Supuestos!$B$31)*(1+Supuestos!$B$10)</f>
        <v/>
      </c>
      <c r="L40" s="12">
        <f>((L20+L33)*Supuestos!$B$32+L35*(1+Supuestos!$B$10)*Supuestos!$B$31)*(1+Supuestos!$B$10)</f>
        <v/>
      </c>
      <c r="M40" s="12">
        <f>((M20+M33)*Supuestos!$B$32+M35*(1+Supuestos!$B$10)*Supuestos!$B$31)*(1+Supuestos!$B$10)</f>
        <v/>
      </c>
      <c r="N40" s="12">
        <f>((N20+N33)*Supuestos!$B$32+N35*(1+Supuestos!$B$10)*Supuestos!$B$31)*(1+Supuestos!$B$10)</f>
        <v/>
      </c>
      <c r="O40" s="12">
        <f>((O20+O33)*Supuestos!$B$32+O35*(1+Supuestos!$B$10)*Supuestos!$B$31)*(1+Supuestos!$B$10)</f>
        <v/>
      </c>
      <c r="P40" s="12">
        <f>((P20+P33)*Supuestos!$B$32+P35*(1+Supuestos!$B$10)*Supuestos!$B$31)*(1+Supuestos!$B$10)</f>
        <v/>
      </c>
      <c r="Q40" s="12">
        <f>((Q20+Q33)*Supuestos!$B$32+Q35*(1+Supuestos!$B$10)*Supuestos!$B$31)*(1+Supuestos!$B$10)</f>
        <v/>
      </c>
      <c r="R40" s="12">
        <f>((R20+R33)*Supuestos!$B$32+R35*(1+Supuestos!$B$10)*Supuestos!$B$31)*(1+Supuestos!$B$10)</f>
        <v/>
      </c>
      <c r="S40" s="12">
        <f>((S20+S33)*Supuestos!$B$32+S35*(1+Supuestos!$B$10)*Supuestos!$B$31)*(1+Supuestos!$B$10)</f>
        <v/>
      </c>
      <c r="T40" s="12">
        <f>((T20+T33)*Supuestos!$B$32+T35*(1+Supuestos!$B$10)*Supuestos!$B$31)*(1+Supuestos!$B$10)</f>
        <v/>
      </c>
      <c r="U40" s="12">
        <f>((U20+U33)*Supuestos!$B$32+U35*(1+Supuestos!$B$10)*Supuestos!$B$31)*(1+Supuestos!$B$10)</f>
        <v/>
      </c>
      <c r="V40" s="12">
        <f>((V20+V33)*Supuestos!$B$32+V35*(1+Supuestos!$B$10)*Supuestos!$B$31)*(1+Supuestos!$B$10)</f>
        <v/>
      </c>
      <c r="W40" s="12">
        <f>((W20+W33)*Supuestos!$B$32+W35*(1+Supuestos!$B$10)*Supuestos!$B$31)*(1+Supuestos!$B$10)</f>
        <v/>
      </c>
      <c r="X40" s="12">
        <f>((X20+X33)*Supuestos!$B$32+X35*(1+Supuestos!$B$10)*Supuestos!$B$31)*(1+Supuestos!$B$10)</f>
        <v/>
      </c>
      <c r="Y40" s="12">
        <f>((Y20+Y33)*Supuestos!$B$32+Y35*(1+Supuestos!$B$10)*Supuestos!$B$31)*(1+Supuestos!$B$10)</f>
        <v/>
      </c>
      <c r="Z40" s="12">
        <f>((Z20+Z33)*Supuestos!$B$32+Z35*(1+Supuestos!$B$10)*Supuestos!$B$31)*(1+Supuestos!$B$10)</f>
        <v/>
      </c>
    </row>
    <row r="41">
      <c r="A41" s="5" t="inlineStr">
        <is>
          <t>Facturas CFDI</t>
        </is>
      </c>
      <c r="B41" s="2" t="n"/>
      <c r="C41" s="12">
        <f>(C20+C33)*Supuestos!$B$33</f>
        <v/>
      </c>
      <c r="D41" s="12">
        <f>(D20+D33)*Supuestos!$B$33</f>
        <v/>
      </c>
      <c r="E41" s="12">
        <f>(E20+E33)*Supuestos!$B$33</f>
        <v/>
      </c>
      <c r="F41" s="12">
        <f>(F20+F33)*Supuestos!$B$33</f>
        <v/>
      </c>
      <c r="G41" s="12">
        <f>(G20+G33)*Supuestos!$B$33</f>
        <v/>
      </c>
      <c r="H41" s="12">
        <f>(H20+H33)*Supuestos!$B$33</f>
        <v/>
      </c>
      <c r="I41" s="12">
        <f>(I20+I33)*Supuestos!$B$33</f>
        <v/>
      </c>
      <c r="J41" s="12">
        <f>(J20+J33)*Supuestos!$B$33</f>
        <v/>
      </c>
      <c r="K41" s="12">
        <f>(K20+K33)*Supuestos!$B$33</f>
        <v/>
      </c>
      <c r="L41" s="12">
        <f>(L20+L33)*Supuestos!$B$33</f>
        <v/>
      </c>
      <c r="M41" s="12">
        <f>(M20+M33)*Supuestos!$B$33</f>
        <v/>
      </c>
      <c r="N41" s="12">
        <f>(N20+N33)*Supuestos!$B$33</f>
        <v/>
      </c>
      <c r="O41" s="12">
        <f>(O20+O33)*Supuestos!$B$33</f>
        <v/>
      </c>
      <c r="P41" s="12">
        <f>(P20+P33)*Supuestos!$B$33</f>
        <v/>
      </c>
      <c r="Q41" s="12">
        <f>(Q20+Q33)*Supuestos!$B$33</f>
        <v/>
      </c>
      <c r="R41" s="12">
        <f>(R20+R33)*Supuestos!$B$33</f>
        <v/>
      </c>
      <c r="S41" s="12">
        <f>(S20+S33)*Supuestos!$B$33</f>
        <v/>
      </c>
      <c r="T41" s="12">
        <f>(T20+T33)*Supuestos!$B$33</f>
        <v/>
      </c>
      <c r="U41" s="12">
        <f>(U20+U33)*Supuestos!$B$33</f>
        <v/>
      </c>
      <c r="V41" s="12">
        <f>(V20+V33)*Supuestos!$B$33</f>
        <v/>
      </c>
      <c r="W41" s="12">
        <f>(W20+W33)*Supuestos!$B$33</f>
        <v/>
      </c>
      <c r="X41" s="12">
        <f>(X20+X33)*Supuestos!$B$33</f>
        <v/>
      </c>
      <c r="Y41" s="12">
        <f>(Y20+Y33)*Supuestos!$B$33</f>
        <v/>
      </c>
      <c r="Z41" s="12">
        <f>(Z20+Z33)*Supuestos!$B$33</f>
        <v/>
      </c>
    </row>
    <row r="42">
      <c r="A42" s="5" t="inlineStr">
        <is>
          <t>Soporte</t>
        </is>
      </c>
      <c r="B42" s="2" t="n"/>
      <c r="C42" s="12">
        <f>C20*Supuestos!$B$37*Supuestos!$B$38</f>
        <v/>
      </c>
      <c r="D42" s="12">
        <f>D20*Supuestos!$B$37*Supuestos!$B$38</f>
        <v/>
      </c>
      <c r="E42" s="12">
        <f>E20*Supuestos!$B$37*Supuestos!$B$38</f>
        <v/>
      </c>
      <c r="F42" s="12">
        <f>F20*Supuestos!$B$37*Supuestos!$B$38</f>
        <v/>
      </c>
      <c r="G42" s="12">
        <f>G20*Supuestos!$B$37*Supuestos!$B$38</f>
        <v/>
      </c>
      <c r="H42" s="12">
        <f>H20*Supuestos!$B$37*Supuestos!$B$38</f>
        <v/>
      </c>
      <c r="I42" s="12">
        <f>I20*Supuestos!$B$37*Supuestos!$B$38</f>
        <v/>
      </c>
      <c r="J42" s="12">
        <f>J20*Supuestos!$B$37*Supuestos!$B$38</f>
        <v/>
      </c>
      <c r="K42" s="12">
        <f>K20*Supuestos!$B$37*Supuestos!$B$38</f>
        <v/>
      </c>
      <c r="L42" s="12">
        <f>L20*Supuestos!$B$37*Supuestos!$B$38</f>
        <v/>
      </c>
      <c r="M42" s="12">
        <f>M20*Supuestos!$B$37*Supuestos!$B$38</f>
        <v/>
      </c>
      <c r="N42" s="12">
        <f>N20*Supuestos!$B$37*Supuestos!$B$38</f>
        <v/>
      </c>
      <c r="O42" s="12">
        <f>O20*Supuestos!$B$37*Supuestos!$B$38</f>
        <v/>
      </c>
      <c r="P42" s="12">
        <f>P20*Supuestos!$B$37*Supuestos!$B$38</f>
        <v/>
      </c>
      <c r="Q42" s="12">
        <f>Q20*Supuestos!$B$37*Supuestos!$B$38</f>
        <v/>
      </c>
      <c r="R42" s="12">
        <f>R20*Supuestos!$B$37*Supuestos!$B$38</f>
        <v/>
      </c>
      <c r="S42" s="12">
        <f>S20*Supuestos!$B$37*Supuestos!$B$38</f>
        <v/>
      </c>
      <c r="T42" s="12">
        <f>T20*Supuestos!$B$37*Supuestos!$B$38</f>
        <v/>
      </c>
      <c r="U42" s="12">
        <f>U20*Supuestos!$B$37*Supuestos!$B$38</f>
        <v/>
      </c>
      <c r="V42" s="12">
        <f>V20*Supuestos!$B$37*Supuestos!$B$38</f>
        <v/>
      </c>
      <c r="W42" s="12">
        <f>W20*Supuestos!$B$37*Supuestos!$B$38</f>
        <v/>
      </c>
      <c r="X42" s="12">
        <f>X20*Supuestos!$B$37*Supuestos!$B$38</f>
        <v/>
      </c>
      <c r="Y42" s="12">
        <f>Y20*Supuestos!$B$37*Supuestos!$B$38</f>
        <v/>
      </c>
      <c r="Z42" s="12">
        <f>Z20*Supuestos!$B$37*Supuestos!$B$38</f>
        <v/>
      </c>
    </row>
    <row r="43">
      <c r="A43" s="5" t="inlineStr">
        <is>
          <t>IA de las migraciones</t>
        </is>
      </c>
      <c r="B43" s="2" t="n"/>
      <c r="C43" s="12">
        <f>C33*Supuestos!$B$46*Supuestos!$B$47*Supuestos!$B$48*Supuestos!$B$14</f>
        <v/>
      </c>
      <c r="D43" s="12">
        <f>D33*Supuestos!$B$46*Supuestos!$B$47*Supuestos!$B$48*Supuestos!$B$14</f>
        <v/>
      </c>
      <c r="E43" s="12">
        <f>E33*Supuestos!$B$46*Supuestos!$B$47*Supuestos!$B$48*Supuestos!$B$14</f>
        <v/>
      </c>
      <c r="F43" s="12">
        <f>F33*Supuestos!$B$46*Supuestos!$B$47*Supuestos!$B$48*Supuestos!$B$14</f>
        <v/>
      </c>
      <c r="G43" s="12">
        <f>G33*Supuestos!$B$46*Supuestos!$B$47*Supuestos!$B$48*Supuestos!$B$14</f>
        <v/>
      </c>
      <c r="H43" s="12">
        <f>H33*Supuestos!$B$46*Supuestos!$B$47*Supuestos!$B$48*Supuestos!$B$14</f>
        <v/>
      </c>
      <c r="I43" s="12">
        <f>I33*Supuestos!$B$46*Supuestos!$B$47*Supuestos!$B$48*Supuestos!$B$14</f>
        <v/>
      </c>
      <c r="J43" s="12">
        <f>J33*Supuestos!$B$46*Supuestos!$B$47*Supuestos!$B$48*Supuestos!$B$14</f>
        <v/>
      </c>
      <c r="K43" s="12">
        <f>K33*Supuestos!$B$46*Supuestos!$B$47*Supuestos!$B$48*Supuestos!$B$14</f>
        <v/>
      </c>
      <c r="L43" s="12">
        <f>L33*Supuestos!$B$46*Supuestos!$B$47*Supuestos!$B$48*Supuestos!$B$14</f>
        <v/>
      </c>
      <c r="M43" s="12">
        <f>M33*Supuestos!$B$46*Supuestos!$B$47*Supuestos!$B$48*Supuestos!$B$14</f>
        <v/>
      </c>
      <c r="N43" s="12">
        <f>N33*Supuestos!$B$46*Supuestos!$B$47*Supuestos!$B$48*Supuestos!$B$14</f>
        <v/>
      </c>
      <c r="O43" s="12">
        <f>O33*Supuestos!$B$46*Supuestos!$B$47*Supuestos!$B$48*Supuestos!$B$14</f>
        <v/>
      </c>
      <c r="P43" s="12">
        <f>P33*Supuestos!$B$46*Supuestos!$B$47*Supuestos!$B$48*Supuestos!$B$14</f>
        <v/>
      </c>
      <c r="Q43" s="12">
        <f>Q33*Supuestos!$B$46*Supuestos!$B$47*Supuestos!$B$48*Supuestos!$B$14</f>
        <v/>
      </c>
      <c r="R43" s="12">
        <f>R33*Supuestos!$B$46*Supuestos!$B$47*Supuestos!$B$48*Supuestos!$B$14</f>
        <v/>
      </c>
      <c r="S43" s="12">
        <f>S33*Supuestos!$B$46*Supuestos!$B$47*Supuestos!$B$48*Supuestos!$B$14</f>
        <v/>
      </c>
      <c r="T43" s="12">
        <f>T33*Supuestos!$B$46*Supuestos!$B$47*Supuestos!$B$48*Supuestos!$B$14</f>
        <v/>
      </c>
      <c r="U43" s="12">
        <f>U33*Supuestos!$B$46*Supuestos!$B$47*Supuestos!$B$48*Supuestos!$B$14</f>
        <v/>
      </c>
      <c r="V43" s="12">
        <f>V33*Supuestos!$B$46*Supuestos!$B$47*Supuestos!$B$48*Supuestos!$B$14</f>
        <v/>
      </c>
      <c r="W43" s="12">
        <f>W33*Supuestos!$B$46*Supuestos!$B$47*Supuestos!$B$48*Supuestos!$B$14</f>
        <v/>
      </c>
      <c r="X43" s="12">
        <f>X33*Supuestos!$B$46*Supuestos!$B$47*Supuestos!$B$48*Supuestos!$B$14</f>
        <v/>
      </c>
      <c r="Y43" s="12">
        <f>Y33*Supuestos!$B$46*Supuestos!$B$47*Supuestos!$B$48*Supuestos!$B$14</f>
        <v/>
      </c>
      <c r="Z43" s="12">
        <f>Z33*Supuestos!$B$46*Supuestos!$B$47*Supuestos!$B$48*Supuestos!$B$14</f>
        <v/>
      </c>
    </row>
    <row r="44">
      <c r="A44" s="5" t="inlineStr">
        <is>
          <t>Total costos variables</t>
        </is>
      </c>
      <c r="B44" s="2" t="n"/>
      <c r="C44" s="12">
        <f>SUM(C38:C43)</f>
        <v/>
      </c>
      <c r="D44" s="12">
        <f>SUM(D38:D43)</f>
        <v/>
      </c>
      <c r="E44" s="12">
        <f>SUM(E38:E43)</f>
        <v/>
      </c>
      <c r="F44" s="12">
        <f>SUM(F38:F43)</f>
        <v/>
      </c>
      <c r="G44" s="12">
        <f>SUM(G38:G43)</f>
        <v/>
      </c>
      <c r="H44" s="12">
        <f>SUM(H38:H43)</f>
        <v/>
      </c>
      <c r="I44" s="12">
        <f>SUM(I38:I43)</f>
        <v/>
      </c>
      <c r="J44" s="12">
        <f>SUM(J38:J43)</f>
        <v/>
      </c>
      <c r="K44" s="12">
        <f>SUM(K38:K43)</f>
        <v/>
      </c>
      <c r="L44" s="12">
        <f>SUM(L38:L43)</f>
        <v/>
      </c>
      <c r="M44" s="12">
        <f>SUM(M38:M43)</f>
        <v/>
      </c>
      <c r="N44" s="12">
        <f>SUM(N38:N43)</f>
        <v/>
      </c>
      <c r="O44" s="12">
        <f>SUM(O38:O43)</f>
        <v/>
      </c>
      <c r="P44" s="12">
        <f>SUM(P38:P43)</f>
        <v/>
      </c>
      <c r="Q44" s="12">
        <f>SUM(Q38:Q43)</f>
        <v/>
      </c>
      <c r="R44" s="12">
        <f>SUM(R38:R43)</f>
        <v/>
      </c>
      <c r="S44" s="12">
        <f>SUM(S38:S43)</f>
        <v/>
      </c>
      <c r="T44" s="12">
        <f>SUM(T38:T43)</f>
        <v/>
      </c>
      <c r="U44" s="12">
        <f>SUM(U38:U43)</f>
        <v/>
      </c>
      <c r="V44" s="12">
        <f>SUM(V38:V43)</f>
        <v/>
      </c>
      <c r="W44" s="12">
        <f>SUM(W38:W43)</f>
        <v/>
      </c>
      <c r="X44" s="12">
        <f>SUM(X38:X43)</f>
        <v/>
      </c>
      <c r="Y44" s="12">
        <f>SUM(Y38:Y43)</f>
        <v/>
      </c>
      <c r="Z44" s="12">
        <f>SUM(Z38:Z43)</f>
        <v/>
      </c>
    </row>
    <row r="45">
      <c r="A45" s="41" t="inlineStr">
        <is>
          <t>MARGEN DE CONTRIBUCIÓN</t>
        </is>
      </c>
      <c r="B45" s="42" t="n"/>
      <c r="C45" s="43">
        <f>C35-C44</f>
        <v/>
      </c>
      <c r="D45" s="43">
        <f>D35-D44</f>
        <v/>
      </c>
      <c r="E45" s="43">
        <f>E35-E44</f>
        <v/>
      </c>
      <c r="F45" s="43">
        <f>F35-F44</f>
        <v/>
      </c>
      <c r="G45" s="43">
        <f>G35-G44</f>
        <v/>
      </c>
      <c r="H45" s="43">
        <f>H35-H44</f>
        <v/>
      </c>
      <c r="I45" s="43">
        <f>I35-I44</f>
        <v/>
      </c>
      <c r="J45" s="43">
        <f>J35-J44</f>
        <v/>
      </c>
      <c r="K45" s="43">
        <f>K35-K44</f>
        <v/>
      </c>
      <c r="L45" s="43">
        <f>L35-L44</f>
        <v/>
      </c>
      <c r="M45" s="43">
        <f>M35-M44</f>
        <v/>
      </c>
      <c r="N45" s="43">
        <f>N35-N44</f>
        <v/>
      </c>
      <c r="O45" s="43">
        <f>O35-O44</f>
        <v/>
      </c>
      <c r="P45" s="43">
        <f>P35-P44</f>
        <v/>
      </c>
      <c r="Q45" s="43">
        <f>Q35-Q44</f>
        <v/>
      </c>
      <c r="R45" s="43">
        <f>R35-R44</f>
        <v/>
      </c>
      <c r="S45" s="43">
        <f>S35-S44</f>
        <v/>
      </c>
      <c r="T45" s="43">
        <f>T35-T44</f>
        <v/>
      </c>
      <c r="U45" s="43">
        <f>U35-U44</f>
        <v/>
      </c>
      <c r="V45" s="43">
        <f>V35-V44</f>
        <v/>
      </c>
      <c r="W45" s="43">
        <f>W35-W44</f>
        <v/>
      </c>
      <c r="X45" s="43">
        <f>X35-X44</f>
        <v/>
      </c>
      <c r="Y45" s="43">
        <f>Y35-Y44</f>
        <v/>
      </c>
      <c r="Z45" s="43">
        <f>Z35-Z44</f>
        <v/>
      </c>
    </row>
    <row r="46">
      <c r="A46" s="5" t="inlineStr">
        <is>
          <t>Margen de contribución %</t>
        </is>
      </c>
      <c r="B46" s="2" t="n"/>
      <c r="C46" s="44">
        <f>IF(C35=0,0,C45/C35)</f>
        <v/>
      </c>
      <c r="D46" s="44">
        <f>IF(D35=0,0,D45/D35)</f>
        <v/>
      </c>
      <c r="E46" s="44">
        <f>IF(E35=0,0,E45/E35)</f>
        <v/>
      </c>
      <c r="F46" s="44">
        <f>IF(F35=0,0,F45/F35)</f>
        <v/>
      </c>
      <c r="G46" s="44">
        <f>IF(G35=0,0,G45/G35)</f>
        <v/>
      </c>
      <c r="H46" s="44">
        <f>IF(H35=0,0,H45/H35)</f>
        <v/>
      </c>
      <c r="I46" s="44">
        <f>IF(I35=0,0,I45/I35)</f>
        <v/>
      </c>
      <c r="J46" s="44">
        <f>IF(J35=0,0,J45/J35)</f>
        <v/>
      </c>
      <c r="K46" s="44">
        <f>IF(K35=0,0,K45/K35)</f>
        <v/>
      </c>
      <c r="L46" s="44">
        <f>IF(L35=0,0,L45/L35)</f>
        <v/>
      </c>
      <c r="M46" s="44">
        <f>IF(M35=0,0,M45/M35)</f>
        <v/>
      </c>
      <c r="N46" s="44">
        <f>IF(N35=0,0,N45/N35)</f>
        <v/>
      </c>
      <c r="O46" s="44">
        <f>IF(O35=0,0,O45/O35)</f>
        <v/>
      </c>
      <c r="P46" s="44">
        <f>IF(P35=0,0,P45/P35)</f>
        <v/>
      </c>
      <c r="Q46" s="44">
        <f>IF(Q35=0,0,Q45/Q35)</f>
        <v/>
      </c>
      <c r="R46" s="44">
        <f>IF(R35=0,0,R45/R35)</f>
        <v/>
      </c>
      <c r="S46" s="44">
        <f>IF(S35=0,0,S45/S35)</f>
        <v/>
      </c>
      <c r="T46" s="44">
        <f>IF(T35=0,0,T45/T35)</f>
        <v/>
      </c>
      <c r="U46" s="44">
        <f>IF(U35=0,0,U45/U35)</f>
        <v/>
      </c>
      <c r="V46" s="44">
        <f>IF(V35=0,0,V45/V35)</f>
        <v/>
      </c>
      <c r="W46" s="44">
        <f>IF(W35=0,0,W45/W35)</f>
        <v/>
      </c>
      <c r="X46" s="44">
        <f>IF(X35=0,0,X45/X35)</f>
        <v/>
      </c>
      <c r="Y46" s="44">
        <f>IF(Y35=0,0,Y45/Y35)</f>
        <v/>
      </c>
      <c r="Z46" s="44">
        <f>IF(Z35=0,0,Z45/Z35)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7" t="inlineStr">
        <is>
          <t>COSTOS FIJOS Y DE CRECIMIENTO</t>
        </is>
      </c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A49" s="5" t="inlineStr">
        <is>
          <t>Infraestructura</t>
        </is>
      </c>
      <c r="B49" s="2" t="n"/>
      <c r="C49" s="12">
        <f>(Supuestos!$B$15+Supuestos!$B$16*C5+Supuestos!$B$61*INT(C20/100)+IF(C3&gt;=Supuestos!$B$57-1,Supuestos!$B$59,0))*Supuestos!$B$14</f>
        <v/>
      </c>
      <c r="D49" s="12">
        <f>(Supuestos!$B$15+Supuestos!$B$16*D5+Supuestos!$B$61*INT(D20/100)+IF(D3&gt;=Supuestos!$B$57-1,Supuestos!$B$59,0))*Supuestos!$B$14</f>
        <v/>
      </c>
      <c r="E49" s="12">
        <f>(Supuestos!$B$15+Supuestos!$B$16*E5+Supuestos!$B$61*INT(E20/100)+IF(E3&gt;=Supuestos!$B$57-1,Supuestos!$B$59,0))*Supuestos!$B$14</f>
        <v/>
      </c>
      <c r="F49" s="12">
        <f>(Supuestos!$B$15+Supuestos!$B$16*F5+Supuestos!$B$61*INT(F20/100)+IF(F3&gt;=Supuestos!$B$57-1,Supuestos!$B$59,0))*Supuestos!$B$14</f>
        <v/>
      </c>
      <c r="G49" s="12">
        <f>(Supuestos!$B$15+Supuestos!$B$16*G5+Supuestos!$B$61*INT(G20/100)+IF(G3&gt;=Supuestos!$B$57-1,Supuestos!$B$59,0))*Supuestos!$B$14</f>
        <v/>
      </c>
      <c r="H49" s="12">
        <f>(Supuestos!$B$15+Supuestos!$B$16*H5+Supuestos!$B$61*INT(H20/100)+IF(H3&gt;=Supuestos!$B$57-1,Supuestos!$B$59,0))*Supuestos!$B$14</f>
        <v/>
      </c>
      <c r="I49" s="12">
        <f>(Supuestos!$B$15+Supuestos!$B$16*I5+Supuestos!$B$61*INT(I20/100)+IF(I3&gt;=Supuestos!$B$57-1,Supuestos!$B$59,0))*Supuestos!$B$14</f>
        <v/>
      </c>
      <c r="J49" s="12">
        <f>(Supuestos!$B$15+Supuestos!$B$16*J5+Supuestos!$B$61*INT(J20/100)+IF(J3&gt;=Supuestos!$B$57-1,Supuestos!$B$59,0))*Supuestos!$B$14</f>
        <v/>
      </c>
      <c r="K49" s="12">
        <f>(Supuestos!$B$15+Supuestos!$B$16*K5+Supuestos!$B$61*INT(K20/100)+IF(K3&gt;=Supuestos!$B$57-1,Supuestos!$B$59,0))*Supuestos!$B$14</f>
        <v/>
      </c>
      <c r="L49" s="12">
        <f>(Supuestos!$B$15+Supuestos!$B$16*L5+Supuestos!$B$61*INT(L20/100)+IF(L3&gt;=Supuestos!$B$57-1,Supuestos!$B$59,0))*Supuestos!$B$14</f>
        <v/>
      </c>
      <c r="M49" s="12">
        <f>(Supuestos!$B$15+Supuestos!$B$16*M5+Supuestos!$B$61*INT(M20/100)+IF(M3&gt;=Supuestos!$B$57-1,Supuestos!$B$59,0))*Supuestos!$B$14</f>
        <v/>
      </c>
      <c r="N49" s="12">
        <f>(Supuestos!$B$15+Supuestos!$B$16*N5+Supuestos!$B$61*INT(N20/100)+IF(N3&gt;=Supuestos!$B$57-1,Supuestos!$B$59,0))*Supuestos!$B$14</f>
        <v/>
      </c>
      <c r="O49" s="12">
        <f>(Supuestos!$B$15+Supuestos!$B$16*O5+Supuestos!$B$61*INT(O20/100)+IF(O3&gt;=Supuestos!$B$57-1,Supuestos!$B$59,0))*Supuestos!$B$14</f>
        <v/>
      </c>
      <c r="P49" s="12">
        <f>(Supuestos!$B$15+Supuestos!$B$16*P5+Supuestos!$B$61*INT(P20/100)+IF(P3&gt;=Supuestos!$B$57-1,Supuestos!$B$59,0))*Supuestos!$B$14</f>
        <v/>
      </c>
      <c r="Q49" s="12">
        <f>(Supuestos!$B$15+Supuestos!$B$16*Q5+Supuestos!$B$61*INT(Q20/100)+IF(Q3&gt;=Supuestos!$B$57-1,Supuestos!$B$59,0))*Supuestos!$B$14</f>
        <v/>
      </c>
      <c r="R49" s="12">
        <f>(Supuestos!$B$15+Supuestos!$B$16*R5+Supuestos!$B$61*INT(R20/100)+IF(R3&gt;=Supuestos!$B$57-1,Supuestos!$B$59,0))*Supuestos!$B$14</f>
        <v/>
      </c>
      <c r="S49" s="12">
        <f>(Supuestos!$B$15+Supuestos!$B$16*S5+Supuestos!$B$61*INT(S20/100)+IF(S3&gt;=Supuestos!$B$57-1,Supuestos!$B$59,0))*Supuestos!$B$14</f>
        <v/>
      </c>
      <c r="T49" s="12">
        <f>(Supuestos!$B$15+Supuestos!$B$16*T5+Supuestos!$B$61*INT(T20/100)+IF(T3&gt;=Supuestos!$B$57-1,Supuestos!$B$59,0))*Supuestos!$B$14</f>
        <v/>
      </c>
      <c r="U49" s="12">
        <f>(Supuestos!$B$15+Supuestos!$B$16*U5+Supuestos!$B$61*INT(U20/100)+IF(U3&gt;=Supuestos!$B$57-1,Supuestos!$B$59,0))*Supuestos!$B$14</f>
        <v/>
      </c>
      <c r="V49" s="12">
        <f>(Supuestos!$B$15+Supuestos!$B$16*V5+Supuestos!$B$61*INT(V20/100)+IF(V3&gt;=Supuestos!$B$57-1,Supuestos!$B$59,0))*Supuestos!$B$14</f>
        <v/>
      </c>
      <c r="W49" s="12">
        <f>(Supuestos!$B$15+Supuestos!$B$16*W5+Supuestos!$B$61*INT(W20/100)+IF(W3&gt;=Supuestos!$B$57-1,Supuestos!$B$59,0))*Supuestos!$B$14</f>
        <v/>
      </c>
      <c r="X49" s="12">
        <f>(Supuestos!$B$15+Supuestos!$B$16*X5+Supuestos!$B$61*INT(X20/100)+IF(X3&gt;=Supuestos!$B$57-1,Supuestos!$B$59,0))*Supuestos!$B$14</f>
        <v/>
      </c>
      <c r="Y49" s="12">
        <f>(Supuestos!$B$15+Supuestos!$B$16*Y5+Supuestos!$B$61*INT(Y20/100)+IF(Y3&gt;=Supuestos!$B$57-1,Supuestos!$B$59,0))*Supuestos!$B$14</f>
        <v/>
      </c>
      <c r="Z49" s="12">
        <f>(Supuestos!$B$15+Supuestos!$B$16*Z5+Supuestos!$B$61*INT(Z20/100)+IF(Z3&gt;=Supuestos!$B$57-1,Supuestos!$B$59,0))*Supuestos!$B$14</f>
        <v/>
      </c>
    </row>
    <row r="50">
      <c r="A50" s="5" t="inlineStr">
        <is>
          <t>Contador</t>
        </is>
      </c>
      <c r="B50" s="2" t="n"/>
      <c r="C50" s="8">
        <f>Supuestos!$B$36</f>
        <v/>
      </c>
      <c r="D50" s="8">
        <f>Supuestos!$B$36</f>
        <v/>
      </c>
      <c r="E50" s="8">
        <f>Supuestos!$B$36</f>
        <v/>
      </c>
      <c r="F50" s="8">
        <f>Supuestos!$B$36</f>
        <v/>
      </c>
      <c r="G50" s="8">
        <f>Supuestos!$B$36</f>
        <v/>
      </c>
      <c r="H50" s="8">
        <f>Supuestos!$B$36</f>
        <v/>
      </c>
      <c r="I50" s="8">
        <f>Supuestos!$B$36</f>
        <v/>
      </c>
      <c r="J50" s="8">
        <f>Supuestos!$B$36</f>
        <v/>
      </c>
      <c r="K50" s="8">
        <f>Supuestos!$B$36</f>
        <v/>
      </c>
      <c r="L50" s="8">
        <f>Supuestos!$B$36</f>
        <v/>
      </c>
      <c r="M50" s="8">
        <f>Supuestos!$B$36</f>
        <v/>
      </c>
      <c r="N50" s="8">
        <f>Supuestos!$B$36</f>
        <v/>
      </c>
      <c r="O50" s="8">
        <f>Supuestos!$B$36</f>
        <v/>
      </c>
      <c r="P50" s="8">
        <f>Supuestos!$B$36</f>
        <v/>
      </c>
      <c r="Q50" s="8">
        <f>Supuestos!$B$36</f>
        <v/>
      </c>
      <c r="R50" s="8">
        <f>Supuestos!$B$36</f>
        <v/>
      </c>
      <c r="S50" s="8">
        <f>Supuestos!$B$36</f>
        <v/>
      </c>
      <c r="T50" s="8">
        <f>Supuestos!$B$36</f>
        <v/>
      </c>
      <c r="U50" s="8">
        <f>Supuestos!$B$36</f>
        <v/>
      </c>
      <c r="V50" s="8">
        <f>Supuestos!$B$36</f>
        <v/>
      </c>
      <c r="W50" s="8">
        <f>Supuestos!$B$36</f>
        <v/>
      </c>
      <c r="X50" s="8">
        <f>Supuestos!$B$36</f>
        <v/>
      </c>
      <c r="Y50" s="8">
        <f>Supuestos!$B$36</f>
        <v/>
      </c>
      <c r="Z50" s="8">
        <f>Supuestos!$B$36</f>
        <v/>
      </c>
    </row>
    <row r="51">
      <c r="A51" s="5" t="inlineStr">
        <is>
          <t>Adquisición de médicos</t>
        </is>
      </c>
      <c r="B51" s="2" t="n"/>
      <c r="C51" s="12">
        <f>C8*Supuestos!$B$39+C18*Supuestos!$B$60</f>
        <v/>
      </c>
      <c r="D51" s="12">
        <f>D8*Supuestos!$B$39+D18*Supuestos!$B$60</f>
        <v/>
      </c>
      <c r="E51" s="12">
        <f>E8*Supuestos!$B$39+E18*Supuestos!$B$60</f>
        <v/>
      </c>
      <c r="F51" s="12">
        <f>F8*Supuestos!$B$39+F18*Supuestos!$B$60</f>
        <v/>
      </c>
      <c r="G51" s="12">
        <f>G8*Supuestos!$B$39+G18*Supuestos!$B$60</f>
        <v/>
      </c>
      <c r="H51" s="12">
        <f>H8*Supuestos!$B$39+H18*Supuestos!$B$60</f>
        <v/>
      </c>
      <c r="I51" s="12">
        <f>I8*Supuestos!$B$39+I18*Supuestos!$B$60</f>
        <v/>
      </c>
      <c r="J51" s="12">
        <f>J8*Supuestos!$B$39+J18*Supuestos!$B$60</f>
        <v/>
      </c>
      <c r="K51" s="12">
        <f>K8*Supuestos!$B$39+K18*Supuestos!$B$60</f>
        <v/>
      </c>
      <c r="L51" s="12">
        <f>L8*Supuestos!$B$39+L18*Supuestos!$B$60</f>
        <v/>
      </c>
      <c r="M51" s="12">
        <f>M8*Supuestos!$B$39+M18*Supuestos!$B$60</f>
        <v/>
      </c>
      <c r="N51" s="12">
        <f>N8*Supuestos!$B$39+N18*Supuestos!$B$60</f>
        <v/>
      </c>
      <c r="O51" s="12">
        <f>O8*Supuestos!$B$39+O18*Supuestos!$B$60</f>
        <v/>
      </c>
      <c r="P51" s="12">
        <f>P8*Supuestos!$B$39+P18*Supuestos!$B$60</f>
        <v/>
      </c>
      <c r="Q51" s="12">
        <f>Q8*Supuestos!$B$39+Q18*Supuestos!$B$60</f>
        <v/>
      </c>
      <c r="R51" s="12">
        <f>R8*Supuestos!$B$39+R18*Supuestos!$B$60</f>
        <v/>
      </c>
      <c r="S51" s="12">
        <f>S8*Supuestos!$B$39+S18*Supuestos!$B$60</f>
        <v/>
      </c>
      <c r="T51" s="12">
        <f>T8*Supuestos!$B$39+T18*Supuestos!$B$60</f>
        <v/>
      </c>
      <c r="U51" s="12">
        <f>U8*Supuestos!$B$39+U18*Supuestos!$B$60</f>
        <v/>
      </c>
      <c r="V51" s="12">
        <f>V8*Supuestos!$B$39+V18*Supuestos!$B$60</f>
        <v/>
      </c>
      <c r="W51" s="12">
        <f>W8*Supuestos!$B$39+W18*Supuestos!$B$60</f>
        <v/>
      </c>
      <c r="X51" s="12">
        <f>X8*Supuestos!$B$39+X18*Supuestos!$B$60</f>
        <v/>
      </c>
      <c r="Y51" s="12">
        <f>Y8*Supuestos!$B$39+Y18*Supuestos!$B$60</f>
        <v/>
      </c>
      <c r="Z51" s="12">
        <f>Z8*Supuestos!$B$39+Z18*Supuestos!$B$60</f>
        <v/>
      </c>
    </row>
    <row r="52">
      <c r="A52" s="5" t="inlineStr">
        <is>
          <t>Páginas a revisar (migración asistida)</t>
        </is>
      </c>
      <c r="B52" s="2" t="n"/>
      <c r="C52" s="45">
        <f>C33*Supuestos!$B$46*Supuestos!$B$47</f>
        <v/>
      </c>
      <c r="D52" s="45">
        <f>D33*Supuestos!$B$46*Supuestos!$B$47</f>
        <v/>
      </c>
      <c r="E52" s="45">
        <f>E33*Supuestos!$B$46*Supuestos!$B$47</f>
        <v/>
      </c>
      <c r="F52" s="45">
        <f>F33*Supuestos!$B$46*Supuestos!$B$47</f>
        <v/>
      </c>
      <c r="G52" s="45">
        <f>G33*Supuestos!$B$46*Supuestos!$B$47</f>
        <v/>
      </c>
      <c r="H52" s="45">
        <f>H33*Supuestos!$B$46*Supuestos!$B$47</f>
        <v/>
      </c>
      <c r="I52" s="45">
        <f>I33*Supuestos!$B$46*Supuestos!$B$47</f>
        <v/>
      </c>
      <c r="J52" s="45">
        <f>J33*Supuestos!$B$46*Supuestos!$B$47</f>
        <v/>
      </c>
      <c r="K52" s="45">
        <f>K33*Supuestos!$B$46*Supuestos!$B$47</f>
        <v/>
      </c>
      <c r="L52" s="45">
        <f>L33*Supuestos!$B$46*Supuestos!$B$47</f>
        <v/>
      </c>
      <c r="M52" s="45">
        <f>M33*Supuestos!$B$46*Supuestos!$B$47</f>
        <v/>
      </c>
      <c r="N52" s="45">
        <f>N33*Supuestos!$B$46*Supuestos!$B$47</f>
        <v/>
      </c>
      <c r="O52" s="45">
        <f>O33*Supuestos!$B$46*Supuestos!$B$47</f>
        <v/>
      </c>
      <c r="P52" s="45">
        <f>P33*Supuestos!$B$46*Supuestos!$B$47</f>
        <v/>
      </c>
      <c r="Q52" s="45">
        <f>Q33*Supuestos!$B$46*Supuestos!$B$47</f>
        <v/>
      </c>
      <c r="R52" s="45">
        <f>R33*Supuestos!$B$46*Supuestos!$B$47</f>
        <v/>
      </c>
      <c r="S52" s="45">
        <f>S33*Supuestos!$B$46*Supuestos!$B$47</f>
        <v/>
      </c>
      <c r="T52" s="45">
        <f>T33*Supuestos!$B$46*Supuestos!$B$47</f>
        <v/>
      </c>
      <c r="U52" s="45">
        <f>U33*Supuestos!$B$46*Supuestos!$B$47</f>
        <v/>
      </c>
      <c r="V52" s="45">
        <f>V33*Supuestos!$B$46*Supuestos!$B$47</f>
        <v/>
      </c>
      <c r="W52" s="45">
        <f>W33*Supuestos!$B$46*Supuestos!$B$47</f>
        <v/>
      </c>
      <c r="X52" s="45">
        <f>X33*Supuestos!$B$46*Supuestos!$B$47</f>
        <v/>
      </c>
      <c r="Y52" s="45">
        <f>Y33*Supuestos!$B$46*Supuestos!$B$47</f>
        <v/>
      </c>
      <c r="Z52" s="45">
        <f>Z33*Supuestos!$B$46*Supuestos!$B$47</f>
        <v/>
      </c>
    </row>
    <row r="53">
      <c r="A53" s="5" t="inlineStr">
        <is>
          <t>Personas de migración</t>
        </is>
      </c>
      <c r="B53" s="2" t="n"/>
      <c r="C53" s="45">
        <f>IF(C3&gt;=Supuestos!$B$57-Supuestos!$B$52,MAX(1,ROUNDUP(C52*Supuestos!$B$49/60/Supuestos!$B$51,0)),ROUNDUP(C52*Supuestos!$B$49/60/Supuestos!$B$51,0))</f>
        <v/>
      </c>
      <c r="D53" s="45">
        <f>IF(D3&gt;=Supuestos!$B$57-Supuestos!$B$52,MAX(1,ROUNDUP(D52*Supuestos!$B$49/60/Supuestos!$B$51,0)),ROUNDUP(D52*Supuestos!$B$49/60/Supuestos!$B$51,0))</f>
        <v/>
      </c>
      <c r="E53" s="45">
        <f>IF(E3&gt;=Supuestos!$B$57-Supuestos!$B$52,MAX(1,ROUNDUP(E52*Supuestos!$B$49/60/Supuestos!$B$51,0)),ROUNDUP(E52*Supuestos!$B$49/60/Supuestos!$B$51,0))</f>
        <v/>
      </c>
      <c r="F53" s="45">
        <f>IF(F3&gt;=Supuestos!$B$57-Supuestos!$B$52,MAX(1,ROUNDUP(F52*Supuestos!$B$49/60/Supuestos!$B$51,0)),ROUNDUP(F52*Supuestos!$B$49/60/Supuestos!$B$51,0))</f>
        <v/>
      </c>
      <c r="G53" s="45">
        <f>IF(G3&gt;=Supuestos!$B$57-Supuestos!$B$52,MAX(1,ROUNDUP(G52*Supuestos!$B$49/60/Supuestos!$B$51,0)),ROUNDUP(G52*Supuestos!$B$49/60/Supuestos!$B$51,0))</f>
        <v/>
      </c>
      <c r="H53" s="45">
        <f>IF(H3&gt;=Supuestos!$B$57-Supuestos!$B$52,MAX(1,ROUNDUP(H52*Supuestos!$B$49/60/Supuestos!$B$51,0)),ROUNDUP(H52*Supuestos!$B$49/60/Supuestos!$B$51,0))</f>
        <v/>
      </c>
      <c r="I53" s="45">
        <f>IF(I3&gt;=Supuestos!$B$57-Supuestos!$B$52,MAX(1,ROUNDUP(I52*Supuestos!$B$49/60/Supuestos!$B$51,0)),ROUNDUP(I52*Supuestos!$B$49/60/Supuestos!$B$51,0))</f>
        <v/>
      </c>
      <c r="J53" s="45">
        <f>IF(J3&gt;=Supuestos!$B$57-Supuestos!$B$52,MAX(1,ROUNDUP(J52*Supuestos!$B$49/60/Supuestos!$B$51,0)),ROUNDUP(J52*Supuestos!$B$49/60/Supuestos!$B$51,0))</f>
        <v/>
      </c>
      <c r="K53" s="45">
        <f>IF(K3&gt;=Supuestos!$B$57-Supuestos!$B$52,MAX(1,ROUNDUP(K52*Supuestos!$B$49/60/Supuestos!$B$51,0)),ROUNDUP(K52*Supuestos!$B$49/60/Supuestos!$B$51,0))</f>
        <v/>
      </c>
      <c r="L53" s="45">
        <f>IF(L3&gt;=Supuestos!$B$57-Supuestos!$B$52,MAX(1,ROUNDUP(L52*Supuestos!$B$49/60/Supuestos!$B$51,0)),ROUNDUP(L52*Supuestos!$B$49/60/Supuestos!$B$51,0))</f>
        <v/>
      </c>
      <c r="M53" s="45">
        <f>IF(M3&gt;=Supuestos!$B$57-Supuestos!$B$52,MAX(1,ROUNDUP(M52*Supuestos!$B$49/60/Supuestos!$B$51,0)),ROUNDUP(M52*Supuestos!$B$49/60/Supuestos!$B$51,0))</f>
        <v/>
      </c>
      <c r="N53" s="45">
        <f>IF(N3&gt;=Supuestos!$B$57-Supuestos!$B$52,MAX(1,ROUNDUP(N52*Supuestos!$B$49/60/Supuestos!$B$51,0)),ROUNDUP(N52*Supuestos!$B$49/60/Supuestos!$B$51,0))</f>
        <v/>
      </c>
      <c r="O53" s="45">
        <f>IF(O3&gt;=Supuestos!$B$57-Supuestos!$B$52,MAX(1,ROUNDUP(O52*Supuestos!$B$49/60/Supuestos!$B$51,0)),ROUNDUP(O52*Supuestos!$B$49/60/Supuestos!$B$51,0))</f>
        <v/>
      </c>
      <c r="P53" s="45">
        <f>IF(P3&gt;=Supuestos!$B$57-Supuestos!$B$52,MAX(1,ROUNDUP(P52*Supuestos!$B$49/60/Supuestos!$B$51,0)),ROUNDUP(P52*Supuestos!$B$49/60/Supuestos!$B$51,0))</f>
        <v/>
      </c>
      <c r="Q53" s="45">
        <f>IF(Q3&gt;=Supuestos!$B$57-Supuestos!$B$52,MAX(1,ROUNDUP(Q52*Supuestos!$B$49/60/Supuestos!$B$51,0)),ROUNDUP(Q52*Supuestos!$B$49/60/Supuestos!$B$51,0))</f>
        <v/>
      </c>
      <c r="R53" s="45">
        <f>IF(R3&gt;=Supuestos!$B$57-Supuestos!$B$52,MAX(1,ROUNDUP(R52*Supuestos!$B$49/60/Supuestos!$B$51,0)),ROUNDUP(R52*Supuestos!$B$49/60/Supuestos!$B$51,0))</f>
        <v/>
      </c>
      <c r="S53" s="45">
        <f>IF(S3&gt;=Supuestos!$B$57-Supuestos!$B$52,MAX(1,ROUNDUP(S52*Supuestos!$B$49/60/Supuestos!$B$51,0)),ROUNDUP(S52*Supuestos!$B$49/60/Supuestos!$B$51,0))</f>
        <v/>
      </c>
      <c r="T53" s="45">
        <f>IF(T3&gt;=Supuestos!$B$57-Supuestos!$B$52,MAX(1,ROUNDUP(T52*Supuestos!$B$49/60/Supuestos!$B$51,0)),ROUNDUP(T52*Supuestos!$B$49/60/Supuestos!$B$51,0))</f>
        <v/>
      </c>
      <c r="U53" s="45">
        <f>IF(U3&gt;=Supuestos!$B$57-Supuestos!$B$52,MAX(1,ROUNDUP(U52*Supuestos!$B$49/60/Supuestos!$B$51,0)),ROUNDUP(U52*Supuestos!$B$49/60/Supuestos!$B$51,0))</f>
        <v/>
      </c>
      <c r="V53" s="45">
        <f>IF(V3&gt;=Supuestos!$B$57-Supuestos!$B$52,MAX(1,ROUNDUP(V52*Supuestos!$B$49/60/Supuestos!$B$51,0)),ROUNDUP(V52*Supuestos!$B$49/60/Supuestos!$B$51,0))</f>
        <v/>
      </c>
      <c r="W53" s="45">
        <f>IF(W3&gt;=Supuestos!$B$57-Supuestos!$B$52,MAX(1,ROUNDUP(W52*Supuestos!$B$49/60/Supuestos!$B$51,0)),ROUNDUP(W52*Supuestos!$B$49/60/Supuestos!$B$51,0))</f>
        <v/>
      </c>
      <c r="X53" s="45">
        <f>IF(X3&gt;=Supuestos!$B$57-Supuestos!$B$52,MAX(1,ROUNDUP(X52*Supuestos!$B$49/60/Supuestos!$B$51,0)),ROUNDUP(X52*Supuestos!$B$49/60/Supuestos!$B$51,0))</f>
        <v/>
      </c>
      <c r="Y53" s="45">
        <f>IF(Y3&gt;=Supuestos!$B$57-Supuestos!$B$52,MAX(1,ROUNDUP(Y52*Supuestos!$B$49/60/Supuestos!$B$51,0)),ROUNDUP(Y52*Supuestos!$B$49/60/Supuestos!$B$51,0))</f>
        <v/>
      </c>
      <c r="Z53" s="45">
        <f>IF(Z3&gt;=Supuestos!$B$57-Supuestos!$B$52,MAX(1,ROUNDUP(Z52*Supuestos!$B$49/60/Supuestos!$B$51,0)),ROUNDUP(Z52*Supuestos!$B$49/60/Supuestos!$B$51,0))</f>
        <v/>
      </c>
    </row>
    <row r="54">
      <c r="A54" s="5" t="inlineStr">
        <is>
          <t>Personal de migración + capacitación</t>
        </is>
      </c>
      <c r="B54" s="2" t="n"/>
      <c r="C54" s="12">
        <f>C53*Supuestos!$B$50+MAX(0,C53-0)*Supuestos!$B$53</f>
        <v/>
      </c>
      <c r="D54" s="12">
        <f>D53*Supuestos!$B$50+MAX(0,D53-C53)*Supuestos!$B$53</f>
        <v/>
      </c>
      <c r="E54" s="12">
        <f>E53*Supuestos!$B$50+MAX(0,E53-D53)*Supuestos!$B$53</f>
        <v/>
      </c>
      <c r="F54" s="12">
        <f>F53*Supuestos!$B$50+MAX(0,F53-E53)*Supuestos!$B$53</f>
        <v/>
      </c>
      <c r="G54" s="12">
        <f>G53*Supuestos!$B$50+MAX(0,G53-F53)*Supuestos!$B$53</f>
        <v/>
      </c>
      <c r="H54" s="12">
        <f>H53*Supuestos!$B$50+MAX(0,H53-G53)*Supuestos!$B$53</f>
        <v/>
      </c>
      <c r="I54" s="12">
        <f>I53*Supuestos!$B$50+MAX(0,I53-H53)*Supuestos!$B$53</f>
        <v/>
      </c>
      <c r="J54" s="12">
        <f>J53*Supuestos!$B$50+MAX(0,J53-I53)*Supuestos!$B$53</f>
        <v/>
      </c>
      <c r="K54" s="12">
        <f>K53*Supuestos!$B$50+MAX(0,K53-J53)*Supuestos!$B$53</f>
        <v/>
      </c>
      <c r="L54" s="12">
        <f>L53*Supuestos!$B$50+MAX(0,L53-K53)*Supuestos!$B$53</f>
        <v/>
      </c>
      <c r="M54" s="12">
        <f>M53*Supuestos!$B$50+MAX(0,M53-L53)*Supuestos!$B$53</f>
        <v/>
      </c>
      <c r="N54" s="12">
        <f>N53*Supuestos!$B$50+MAX(0,N53-M53)*Supuestos!$B$53</f>
        <v/>
      </c>
      <c r="O54" s="12">
        <f>O53*Supuestos!$B$50+MAX(0,O53-N53)*Supuestos!$B$53</f>
        <v/>
      </c>
      <c r="P54" s="12">
        <f>P53*Supuestos!$B$50+MAX(0,P53-O53)*Supuestos!$B$53</f>
        <v/>
      </c>
      <c r="Q54" s="12">
        <f>Q53*Supuestos!$B$50+MAX(0,Q53-P53)*Supuestos!$B$53</f>
        <v/>
      </c>
      <c r="R54" s="12">
        <f>R53*Supuestos!$B$50+MAX(0,R53-Q53)*Supuestos!$B$53</f>
        <v/>
      </c>
      <c r="S54" s="12">
        <f>S53*Supuestos!$B$50+MAX(0,S53-R53)*Supuestos!$B$53</f>
        <v/>
      </c>
      <c r="T54" s="12">
        <f>T53*Supuestos!$B$50+MAX(0,T53-S53)*Supuestos!$B$53</f>
        <v/>
      </c>
      <c r="U54" s="12">
        <f>U53*Supuestos!$B$50+MAX(0,U53-T53)*Supuestos!$B$53</f>
        <v/>
      </c>
      <c r="V54" s="12">
        <f>V53*Supuestos!$B$50+MAX(0,V53-U53)*Supuestos!$B$53</f>
        <v/>
      </c>
      <c r="W54" s="12">
        <f>W53*Supuestos!$B$50+MAX(0,W53-V53)*Supuestos!$B$53</f>
        <v/>
      </c>
      <c r="X54" s="12">
        <f>X53*Supuestos!$B$50+MAX(0,X53-W53)*Supuestos!$B$53</f>
        <v/>
      </c>
      <c r="Y54" s="12">
        <f>Y53*Supuestos!$B$50+MAX(0,Y53-X53)*Supuestos!$B$53</f>
        <v/>
      </c>
      <c r="Z54" s="12">
        <f>Z53*Supuestos!$B$50+MAX(0,Z53-Y53)*Supuestos!$B$53</f>
        <v/>
      </c>
    </row>
    <row r="55">
      <c r="A55" s="5" t="inlineStr">
        <is>
          <t>Sueldo de Víctor</t>
        </is>
      </c>
      <c r="B55" s="2" t="n"/>
      <c r="C55" s="8">
        <f>Supuestos!$B$40</f>
        <v/>
      </c>
      <c r="D55" s="8">
        <f>Supuestos!$B$40</f>
        <v/>
      </c>
      <c r="E55" s="8">
        <f>Supuestos!$B$40</f>
        <v/>
      </c>
      <c r="F55" s="8">
        <f>Supuestos!$B$40</f>
        <v/>
      </c>
      <c r="G55" s="8">
        <f>Supuestos!$B$40</f>
        <v/>
      </c>
      <c r="H55" s="8">
        <f>Supuestos!$B$40</f>
        <v/>
      </c>
      <c r="I55" s="8">
        <f>Supuestos!$B$40</f>
        <v/>
      </c>
      <c r="J55" s="8">
        <f>Supuestos!$B$40</f>
        <v/>
      </c>
      <c r="K55" s="8">
        <f>Supuestos!$B$40</f>
        <v/>
      </c>
      <c r="L55" s="8">
        <f>Supuestos!$B$40</f>
        <v/>
      </c>
      <c r="M55" s="8">
        <f>Supuestos!$B$40</f>
        <v/>
      </c>
      <c r="N55" s="8">
        <f>Supuestos!$B$40</f>
        <v/>
      </c>
      <c r="O55" s="8">
        <f>Supuestos!$B$40</f>
        <v/>
      </c>
      <c r="P55" s="8">
        <f>Supuestos!$B$40</f>
        <v/>
      </c>
      <c r="Q55" s="8">
        <f>Supuestos!$B$40</f>
        <v/>
      </c>
      <c r="R55" s="8">
        <f>Supuestos!$B$40</f>
        <v/>
      </c>
      <c r="S55" s="8">
        <f>Supuestos!$B$40</f>
        <v/>
      </c>
      <c r="T55" s="8">
        <f>Supuestos!$B$40</f>
        <v/>
      </c>
      <c r="U55" s="8">
        <f>Supuestos!$B$40</f>
        <v/>
      </c>
      <c r="V55" s="8">
        <f>Supuestos!$B$40</f>
        <v/>
      </c>
      <c r="W55" s="8">
        <f>Supuestos!$B$40</f>
        <v/>
      </c>
      <c r="X55" s="8">
        <f>Supuestos!$B$40</f>
        <v/>
      </c>
      <c r="Y55" s="8">
        <f>Supuestos!$B$40</f>
        <v/>
      </c>
      <c r="Z55" s="8">
        <f>Supuestos!$B$40</f>
        <v/>
      </c>
    </row>
    <row r="56">
      <c r="A56" s="5" t="inlineStr">
        <is>
          <t>Pagos únicos (abogado, prueba de penetración)</t>
        </is>
      </c>
      <c r="B56" s="2" t="n"/>
      <c r="C56" s="12">
        <f>IF(C3=1,Supuestos!$B$41,0)+IF(C3=Supuestos!$B$43,Supuestos!$B$42,0)</f>
        <v/>
      </c>
      <c r="D56" s="12">
        <f>IF(D3=1,Supuestos!$B$41,0)+IF(D3=Supuestos!$B$43,Supuestos!$B$42,0)</f>
        <v/>
      </c>
      <c r="E56" s="12">
        <f>IF(E3=1,Supuestos!$B$41,0)+IF(E3=Supuestos!$B$43,Supuestos!$B$42,0)</f>
        <v/>
      </c>
      <c r="F56" s="12">
        <f>IF(F3=1,Supuestos!$B$41,0)+IF(F3=Supuestos!$B$43,Supuestos!$B$42,0)</f>
        <v/>
      </c>
      <c r="G56" s="12">
        <f>IF(G3=1,Supuestos!$B$41,0)+IF(G3=Supuestos!$B$43,Supuestos!$B$42,0)</f>
        <v/>
      </c>
      <c r="H56" s="12">
        <f>IF(H3=1,Supuestos!$B$41,0)+IF(H3=Supuestos!$B$43,Supuestos!$B$42,0)</f>
        <v/>
      </c>
      <c r="I56" s="12">
        <f>IF(I3=1,Supuestos!$B$41,0)+IF(I3=Supuestos!$B$43,Supuestos!$B$42,0)</f>
        <v/>
      </c>
      <c r="J56" s="12">
        <f>IF(J3=1,Supuestos!$B$41,0)+IF(J3=Supuestos!$B$43,Supuestos!$B$42,0)</f>
        <v/>
      </c>
      <c r="K56" s="12">
        <f>IF(K3=1,Supuestos!$B$41,0)+IF(K3=Supuestos!$B$43,Supuestos!$B$42,0)</f>
        <v/>
      </c>
      <c r="L56" s="12">
        <f>IF(L3=1,Supuestos!$B$41,0)+IF(L3=Supuestos!$B$43,Supuestos!$B$42,0)</f>
        <v/>
      </c>
      <c r="M56" s="12">
        <f>IF(M3=1,Supuestos!$B$41,0)+IF(M3=Supuestos!$B$43,Supuestos!$B$42,0)</f>
        <v/>
      </c>
      <c r="N56" s="12">
        <f>IF(N3=1,Supuestos!$B$41,0)+IF(N3=Supuestos!$B$43,Supuestos!$B$42,0)</f>
        <v/>
      </c>
      <c r="O56" s="12">
        <f>IF(O3=1,Supuestos!$B$41,0)+IF(O3=Supuestos!$B$43,Supuestos!$B$42,0)</f>
        <v/>
      </c>
      <c r="P56" s="12">
        <f>IF(P3=1,Supuestos!$B$41,0)+IF(P3=Supuestos!$B$43,Supuestos!$B$42,0)</f>
        <v/>
      </c>
      <c r="Q56" s="12">
        <f>IF(Q3=1,Supuestos!$B$41,0)+IF(Q3=Supuestos!$B$43,Supuestos!$B$42,0)</f>
        <v/>
      </c>
      <c r="R56" s="12">
        <f>IF(R3=1,Supuestos!$B$41,0)+IF(R3=Supuestos!$B$43,Supuestos!$B$42,0)</f>
        <v/>
      </c>
      <c r="S56" s="12">
        <f>IF(S3=1,Supuestos!$B$41,0)+IF(S3=Supuestos!$B$43,Supuestos!$B$42,0)</f>
        <v/>
      </c>
      <c r="T56" s="12">
        <f>IF(T3=1,Supuestos!$B$41,0)+IF(T3=Supuestos!$B$43,Supuestos!$B$42,0)</f>
        <v/>
      </c>
      <c r="U56" s="12">
        <f>IF(U3=1,Supuestos!$B$41,0)+IF(U3=Supuestos!$B$43,Supuestos!$B$42,0)</f>
        <v/>
      </c>
      <c r="V56" s="12">
        <f>IF(V3=1,Supuestos!$B$41,0)+IF(V3=Supuestos!$B$43,Supuestos!$B$42,0)</f>
        <v/>
      </c>
      <c r="W56" s="12">
        <f>IF(W3=1,Supuestos!$B$41,0)+IF(W3=Supuestos!$B$43,Supuestos!$B$42,0)</f>
        <v/>
      </c>
      <c r="X56" s="12">
        <f>IF(X3=1,Supuestos!$B$41,0)+IF(X3=Supuestos!$B$43,Supuestos!$B$42,0)</f>
        <v/>
      </c>
      <c r="Y56" s="12">
        <f>IF(Y3=1,Supuestos!$B$41,0)+IF(Y3=Supuestos!$B$43,Supuestos!$B$42,0)</f>
        <v/>
      </c>
      <c r="Z56" s="12">
        <f>IF(Z3=1,Supuestos!$B$41,0)+IF(Z3=Supuestos!$B$43,Supuestos!$B$42,0)</f>
        <v/>
      </c>
    </row>
    <row r="57">
      <c r="A57" s="5" t="inlineStr">
        <is>
          <t>Total fijos y crecimiento</t>
        </is>
      </c>
      <c r="B57" s="2" t="n"/>
      <c r="C57" s="12">
        <f>C49+C50+C51+C54+C55+C56</f>
        <v/>
      </c>
      <c r="D57" s="12">
        <f>D49+D50+D51+D54+D55+D56</f>
        <v/>
      </c>
      <c r="E57" s="12">
        <f>E49+E50+E51+E54+E55+E56</f>
        <v/>
      </c>
      <c r="F57" s="12">
        <f>F49+F50+F51+F54+F55+F56</f>
        <v/>
      </c>
      <c r="G57" s="12">
        <f>G49+G50+G51+G54+G55+G56</f>
        <v/>
      </c>
      <c r="H57" s="12">
        <f>H49+H50+H51+H54+H55+H56</f>
        <v/>
      </c>
      <c r="I57" s="12">
        <f>I49+I50+I51+I54+I55+I56</f>
        <v/>
      </c>
      <c r="J57" s="12">
        <f>J49+J50+J51+J54+J55+J56</f>
        <v/>
      </c>
      <c r="K57" s="12">
        <f>K49+K50+K51+K54+K55+K56</f>
        <v/>
      </c>
      <c r="L57" s="12">
        <f>L49+L50+L51+L54+L55+L56</f>
        <v/>
      </c>
      <c r="M57" s="12">
        <f>M49+M50+M51+M54+M55+M56</f>
        <v/>
      </c>
      <c r="N57" s="12">
        <f>N49+N50+N51+N54+N55+N56</f>
        <v/>
      </c>
      <c r="O57" s="12">
        <f>O49+O50+O51+O54+O55+O56</f>
        <v/>
      </c>
      <c r="P57" s="12">
        <f>P49+P50+P51+P54+P55+P56</f>
        <v/>
      </c>
      <c r="Q57" s="12">
        <f>Q49+Q50+Q51+Q54+Q55+Q56</f>
        <v/>
      </c>
      <c r="R57" s="12">
        <f>R49+R50+R51+R54+R55+R56</f>
        <v/>
      </c>
      <c r="S57" s="12">
        <f>S49+S50+S51+S54+S55+S56</f>
        <v/>
      </c>
      <c r="T57" s="12">
        <f>T49+T50+T51+T54+T55+T56</f>
        <v/>
      </c>
      <c r="U57" s="12">
        <f>U49+U50+U51+U54+U55+U56</f>
        <v/>
      </c>
      <c r="V57" s="12">
        <f>V49+V50+V51+V54+V55+V56</f>
        <v/>
      </c>
      <c r="W57" s="12">
        <f>W49+W50+W51+W54+W55+W56</f>
        <v/>
      </c>
      <c r="X57" s="12">
        <f>X49+X50+X51+X54+X55+X56</f>
        <v/>
      </c>
      <c r="Y57" s="12">
        <f>Y49+Y50+Y51+Y54+Y55+Y56</f>
        <v/>
      </c>
      <c r="Z57" s="12">
        <f>Z49+Z50+Z51+Z54+Z55+Z56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41" t="inlineStr">
        <is>
          <t>FLUJO NETO DEL MES</t>
        </is>
      </c>
      <c r="B59" s="42" t="n"/>
      <c r="C59" s="43">
        <f>C45-C57</f>
        <v/>
      </c>
      <c r="D59" s="43">
        <f>D45-D57</f>
        <v/>
      </c>
      <c r="E59" s="43">
        <f>E45-E57</f>
        <v/>
      </c>
      <c r="F59" s="43">
        <f>F45-F57</f>
        <v/>
      </c>
      <c r="G59" s="43">
        <f>G45-G57</f>
        <v/>
      </c>
      <c r="H59" s="43">
        <f>H45-H57</f>
        <v/>
      </c>
      <c r="I59" s="43">
        <f>I45-I57</f>
        <v/>
      </c>
      <c r="J59" s="43">
        <f>J45-J57</f>
        <v/>
      </c>
      <c r="K59" s="43">
        <f>K45-K57</f>
        <v/>
      </c>
      <c r="L59" s="43">
        <f>L45-L57</f>
        <v/>
      </c>
      <c r="M59" s="43">
        <f>M45-M57</f>
        <v/>
      </c>
      <c r="N59" s="43">
        <f>N45-N57</f>
        <v/>
      </c>
      <c r="O59" s="43">
        <f>O45-O57</f>
        <v/>
      </c>
      <c r="P59" s="43">
        <f>P45-P57</f>
        <v/>
      </c>
      <c r="Q59" s="43">
        <f>Q45-Q57</f>
        <v/>
      </c>
      <c r="R59" s="43">
        <f>R45-R57</f>
        <v/>
      </c>
      <c r="S59" s="43">
        <f>S45-S57</f>
        <v/>
      </c>
      <c r="T59" s="43">
        <f>T45-T57</f>
        <v/>
      </c>
      <c r="U59" s="43">
        <f>U45-U57</f>
        <v/>
      </c>
      <c r="V59" s="43">
        <f>V45-V57</f>
        <v/>
      </c>
      <c r="W59" s="43">
        <f>W45-W57</f>
        <v/>
      </c>
      <c r="X59" s="43">
        <f>X45-X57</f>
        <v/>
      </c>
      <c r="Y59" s="43">
        <f>Y45-Y57</f>
        <v/>
      </c>
      <c r="Z59" s="43">
        <f>Z45-Z57</f>
        <v/>
      </c>
    </row>
    <row r="60">
      <c r="A60" s="41" t="inlineStr">
        <is>
          <t>FLUJO ACUMULADO</t>
        </is>
      </c>
      <c r="B60" s="42" t="n"/>
      <c r="C60" s="43">
        <f>C59</f>
        <v/>
      </c>
      <c r="D60" s="43">
        <f>C60+D59</f>
        <v/>
      </c>
      <c r="E60" s="43">
        <f>D60+E59</f>
        <v/>
      </c>
      <c r="F60" s="43">
        <f>E60+F59</f>
        <v/>
      </c>
      <c r="G60" s="43">
        <f>F60+G59</f>
        <v/>
      </c>
      <c r="H60" s="43">
        <f>G60+H59</f>
        <v/>
      </c>
      <c r="I60" s="43">
        <f>H60+I59</f>
        <v/>
      </c>
      <c r="J60" s="43">
        <f>I60+J59</f>
        <v/>
      </c>
      <c r="K60" s="43">
        <f>J60+K59</f>
        <v/>
      </c>
      <c r="L60" s="43">
        <f>K60+L59</f>
        <v/>
      </c>
      <c r="M60" s="43">
        <f>L60+M59</f>
        <v/>
      </c>
      <c r="N60" s="43">
        <f>M60+N59</f>
        <v/>
      </c>
      <c r="O60" s="43">
        <f>N60+O59</f>
        <v/>
      </c>
      <c r="P60" s="43">
        <f>O60+P59</f>
        <v/>
      </c>
      <c r="Q60" s="43">
        <f>P60+Q59</f>
        <v/>
      </c>
      <c r="R60" s="43">
        <f>Q60+R59</f>
        <v/>
      </c>
      <c r="S60" s="43">
        <f>R60+S59</f>
        <v/>
      </c>
      <c r="T60" s="43">
        <f>S60+T59</f>
        <v/>
      </c>
      <c r="U60" s="43">
        <f>T60+U59</f>
        <v/>
      </c>
      <c r="V60" s="43">
        <f>U60+V59</f>
        <v/>
      </c>
      <c r="W60" s="43">
        <f>V60+W59</f>
        <v/>
      </c>
      <c r="X60" s="43">
        <f>W60+X59</f>
        <v/>
      </c>
      <c r="Y60" s="43">
        <f>X60+Y59</f>
        <v/>
      </c>
      <c r="Z60" s="43">
        <f>Y60+Z59</f>
        <v/>
      </c>
    </row>
    <row r="61">
      <c r="A61" s="5" t="inlineStr">
        <is>
          <t>Ingreso recurrente anualizado (ARR)</t>
        </is>
      </c>
      <c r="B61" s="2" t="n"/>
      <c r="C61" s="12">
        <f>C32*12</f>
        <v/>
      </c>
      <c r="D61" s="12">
        <f>D32*12</f>
        <v/>
      </c>
      <c r="E61" s="12">
        <f>E32*12</f>
        <v/>
      </c>
      <c r="F61" s="12">
        <f>F32*12</f>
        <v/>
      </c>
      <c r="G61" s="12">
        <f>G32*12</f>
        <v/>
      </c>
      <c r="H61" s="12">
        <f>H32*12</f>
        <v/>
      </c>
      <c r="I61" s="12">
        <f>I32*12</f>
        <v/>
      </c>
      <c r="J61" s="12">
        <f>J32*12</f>
        <v/>
      </c>
      <c r="K61" s="12">
        <f>K32*12</f>
        <v/>
      </c>
      <c r="L61" s="12">
        <f>L32*12</f>
        <v/>
      </c>
      <c r="M61" s="12">
        <f>M32*12</f>
        <v/>
      </c>
      <c r="N61" s="12">
        <f>N32*12</f>
        <v/>
      </c>
      <c r="O61" s="12">
        <f>O32*12</f>
        <v/>
      </c>
      <c r="P61" s="12">
        <f>P32*12</f>
        <v/>
      </c>
      <c r="Q61" s="12">
        <f>Q32*12</f>
        <v/>
      </c>
      <c r="R61" s="12">
        <f>R32*12</f>
        <v/>
      </c>
      <c r="S61" s="12">
        <f>S32*12</f>
        <v/>
      </c>
      <c r="T61" s="12">
        <f>T32*12</f>
        <v/>
      </c>
      <c r="U61" s="12">
        <f>U32*12</f>
        <v/>
      </c>
      <c r="V61" s="12">
        <f>V32*12</f>
        <v/>
      </c>
      <c r="W61" s="12">
        <f>W32*12</f>
        <v/>
      </c>
      <c r="X61" s="12">
        <f>X32*12</f>
        <v/>
      </c>
      <c r="Y61" s="12">
        <f>Y32*12</f>
        <v/>
      </c>
      <c r="Z61" s="12">
        <f>Z32*12</f>
        <v/>
      </c>
    </row>
    <row r="62">
      <c r="A62" s="5" t="inlineStr">
        <is>
          <t>Ayuda: mes con flujo positivo (99 = no)</t>
        </is>
      </c>
      <c r="B62" s="2" t="n"/>
      <c r="C62" s="36">
        <f>IF(C59&gt;0,C3,99)</f>
        <v/>
      </c>
      <c r="D62" s="36">
        <f>IF(D59&gt;0,D3,99)</f>
        <v/>
      </c>
      <c r="E62" s="36">
        <f>IF(E59&gt;0,E3,99)</f>
        <v/>
      </c>
      <c r="F62" s="36">
        <f>IF(F59&gt;0,F3,99)</f>
        <v/>
      </c>
      <c r="G62" s="36">
        <f>IF(G59&gt;0,G3,99)</f>
        <v/>
      </c>
      <c r="H62" s="36">
        <f>IF(H59&gt;0,H3,99)</f>
        <v/>
      </c>
      <c r="I62" s="36">
        <f>IF(I59&gt;0,I3,99)</f>
        <v/>
      </c>
      <c r="J62" s="36">
        <f>IF(J59&gt;0,J3,99)</f>
        <v/>
      </c>
      <c r="K62" s="36">
        <f>IF(K59&gt;0,K3,99)</f>
        <v/>
      </c>
      <c r="L62" s="36">
        <f>IF(L59&gt;0,L3,99)</f>
        <v/>
      </c>
      <c r="M62" s="36">
        <f>IF(M59&gt;0,M3,99)</f>
        <v/>
      </c>
      <c r="N62" s="36">
        <f>IF(N59&gt;0,N3,99)</f>
        <v/>
      </c>
      <c r="O62" s="36">
        <f>IF(O59&gt;0,O3,99)</f>
        <v/>
      </c>
      <c r="P62" s="36">
        <f>IF(P59&gt;0,P3,99)</f>
        <v/>
      </c>
      <c r="Q62" s="36">
        <f>IF(Q59&gt;0,Q3,99)</f>
        <v/>
      </c>
      <c r="R62" s="36">
        <f>IF(R59&gt;0,R3,99)</f>
        <v/>
      </c>
      <c r="S62" s="36">
        <f>IF(S59&gt;0,S3,99)</f>
        <v/>
      </c>
      <c r="T62" s="36">
        <f>IF(T59&gt;0,T3,99)</f>
        <v/>
      </c>
      <c r="U62" s="36">
        <f>IF(U59&gt;0,U3,99)</f>
        <v/>
      </c>
      <c r="V62" s="36">
        <f>IF(V59&gt;0,V3,99)</f>
        <v/>
      </c>
      <c r="W62" s="36">
        <f>IF(W59&gt;0,W3,99)</f>
        <v/>
      </c>
      <c r="X62" s="36">
        <f>IF(X59&gt;0,X3,99)</f>
        <v/>
      </c>
      <c r="Y62" s="36">
        <f>IF(Y59&gt;0,Y3,99)</f>
        <v/>
      </c>
      <c r="Z62" s="36">
        <f>IF(Z59&gt;0,Z3,99)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Escenario Optimista — mes a mes (MXN sin IVA)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inlineStr">
        <is>
          <t>Mes #</t>
        </is>
      </c>
      <c r="B3" s="2" t="n"/>
      <c r="C3" s="35" t="n">
        <v>1</v>
      </c>
      <c r="D3" s="35" t="n">
        <v>2</v>
      </c>
      <c r="E3" s="35" t="n">
        <v>3</v>
      </c>
      <c r="F3" s="35" t="n">
        <v>4</v>
      </c>
      <c r="G3" s="35" t="n">
        <v>5</v>
      </c>
      <c r="H3" s="35" t="n">
        <v>6</v>
      </c>
      <c r="I3" s="35" t="n">
        <v>7</v>
      </c>
      <c r="J3" s="35" t="n">
        <v>8</v>
      </c>
      <c r="K3" s="35" t="n">
        <v>9</v>
      </c>
      <c r="L3" s="35" t="n">
        <v>10</v>
      </c>
      <c r="M3" s="35" t="n">
        <v>11</v>
      </c>
      <c r="N3" s="35" t="n">
        <v>12</v>
      </c>
      <c r="O3" s="35" t="n">
        <v>13</v>
      </c>
      <c r="P3" s="35" t="n">
        <v>14</v>
      </c>
      <c r="Q3" s="35" t="n">
        <v>15</v>
      </c>
      <c r="R3" s="35" t="n">
        <v>16</v>
      </c>
      <c r="S3" s="35" t="n">
        <v>17</v>
      </c>
      <c r="T3" s="35" t="n">
        <v>18</v>
      </c>
      <c r="U3" s="35" t="n">
        <v>19</v>
      </c>
      <c r="V3" s="35" t="n">
        <v>20</v>
      </c>
      <c r="W3" s="35" t="n">
        <v>21</v>
      </c>
      <c r="X3" s="35" t="n">
        <v>22</v>
      </c>
      <c r="Y3" s="35" t="n">
        <v>23</v>
      </c>
      <c r="Z3" s="35" t="n">
        <v>24</v>
      </c>
    </row>
    <row r="4">
      <c r="A4" s="5" t="inlineStr">
        <is>
          <t>Mes</t>
        </is>
      </c>
      <c r="B4" s="2" t="n"/>
      <c r="C4" s="35" t="inlineStr">
        <is>
          <t>dic-2026</t>
        </is>
      </c>
      <c r="D4" s="35" t="inlineStr">
        <is>
          <t>ene-2027</t>
        </is>
      </c>
      <c r="E4" s="35" t="inlineStr">
        <is>
          <t>feb-2027</t>
        </is>
      </c>
      <c r="F4" s="35" t="inlineStr">
        <is>
          <t>mar-2027</t>
        </is>
      </c>
      <c r="G4" s="35" t="inlineStr">
        <is>
          <t>abr-2027</t>
        </is>
      </c>
      <c r="H4" s="35" t="inlineStr">
        <is>
          <t>may-2027</t>
        </is>
      </c>
      <c r="I4" s="35" t="inlineStr">
        <is>
          <t>jun-2027</t>
        </is>
      </c>
      <c r="J4" s="35" t="inlineStr">
        <is>
          <t>jul-2027</t>
        </is>
      </c>
      <c r="K4" s="35" t="inlineStr">
        <is>
          <t>ago-2027</t>
        </is>
      </c>
      <c r="L4" s="35" t="inlineStr">
        <is>
          <t>sep-2027</t>
        </is>
      </c>
      <c r="M4" s="35" t="inlineStr">
        <is>
          <t>oct-2027</t>
        </is>
      </c>
      <c r="N4" s="35" t="inlineStr">
        <is>
          <t>nov-2027</t>
        </is>
      </c>
      <c r="O4" s="35" t="inlineStr">
        <is>
          <t>dic-2027</t>
        </is>
      </c>
      <c r="P4" s="35" t="inlineStr">
        <is>
          <t>ene-2028</t>
        </is>
      </c>
      <c r="Q4" s="35" t="inlineStr">
        <is>
          <t>feb-2028</t>
        </is>
      </c>
      <c r="R4" s="35" t="inlineStr">
        <is>
          <t>mar-2028</t>
        </is>
      </c>
      <c r="S4" s="35" t="inlineStr">
        <is>
          <t>abr-2028</t>
        </is>
      </c>
      <c r="T4" s="35" t="inlineStr">
        <is>
          <t>may-2028</t>
        </is>
      </c>
      <c r="U4" s="35" t="inlineStr">
        <is>
          <t>jun-2028</t>
        </is>
      </c>
      <c r="V4" s="35" t="inlineStr">
        <is>
          <t>jul-2028</t>
        </is>
      </c>
      <c r="W4" s="35" t="inlineStr">
        <is>
          <t>ago-2028</t>
        </is>
      </c>
      <c r="X4" s="35" t="inlineStr">
        <is>
          <t>sep-2028</t>
        </is>
      </c>
      <c r="Y4" s="35" t="inlineStr">
        <is>
          <t>oct-2028</t>
        </is>
      </c>
      <c r="Z4" s="35" t="inlineStr">
        <is>
          <t>nov-2028</t>
        </is>
      </c>
    </row>
    <row r="5">
      <c r="A5" s="5" t="inlineStr">
        <is>
          <t>Plan Clínico disponible (1 = sí)</t>
        </is>
      </c>
      <c r="B5" s="2" t="n"/>
      <c r="C5" s="36">
        <f>IF(C3&gt;=Supuestos!$B$43,1,0)</f>
        <v/>
      </c>
      <c r="D5" s="36">
        <f>IF(D3&gt;=Supuestos!$B$43,1,0)</f>
        <v/>
      </c>
      <c r="E5" s="36">
        <f>IF(E3&gt;=Supuestos!$B$43,1,0)</f>
        <v/>
      </c>
      <c r="F5" s="36">
        <f>IF(F3&gt;=Supuestos!$B$43,1,0)</f>
        <v/>
      </c>
      <c r="G5" s="36">
        <f>IF(G3&gt;=Supuestos!$B$43,1,0)</f>
        <v/>
      </c>
      <c r="H5" s="36">
        <f>IF(H3&gt;=Supuestos!$B$43,1,0)</f>
        <v/>
      </c>
      <c r="I5" s="36">
        <f>IF(I3&gt;=Supuestos!$B$43,1,0)</f>
        <v/>
      </c>
      <c r="J5" s="36">
        <f>IF(J3&gt;=Supuestos!$B$43,1,0)</f>
        <v/>
      </c>
      <c r="K5" s="36">
        <f>IF(K3&gt;=Supuestos!$B$43,1,0)</f>
        <v/>
      </c>
      <c r="L5" s="36">
        <f>IF(L3&gt;=Supuestos!$B$43,1,0)</f>
        <v/>
      </c>
      <c r="M5" s="36">
        <f>IF(M3&gt;=Supuestos!$B$43,1,0)</f>
        <v/>
      </c>
      <c r="N5" s="36">
        <f>IF(N3&gt;=Supuestos!$B$43,1,0)</f>
        <v/>
      </c>
      <c r="O5" s="36">
        <f>IF(O3&gt;=Supuestos!$B$43,1,0)</f>
        <v/>
      </c>
      <c r="P5" s="36">
        <f>IF(P3&gt;=Supuestos!$B$43,1,0)</f>
        <v/>
      </c>
      <c r="Q5" s="36">
        <f>IF(Q3&gt;=Supuestos!$B$43,1,0)</f>
        <v/>
      </c>
      <c r="R5" s="36">
        <f>IF(R3&gt;=Supuestos!$B$43,1,0)</f>
        <v/>
      </c>
      <c r="S5" s="36">
        <f>IF(S3&gt;=Supuestos!$B$43,1,0)</f>
        <v/>
      </c>
      <c r="T5" s="36">
        <f>IF(T3&gt;=Supuestos!$B$43,1,0)</f>
        <v/>
      </c>
      <c r="U5" s="36">
        <f>IF(U3&gt;=Supuestos!$B$43,1,0)</f>
        <v/>
      </c>
      <c r="V5" s="36">
        <f>IF(V3&gt;=Supuestos!$B$43,1,0)</f>
        <v/>
      </c>
      <c r="W5" s="36">
        <f>IF(W3&gt;=Supuestos!$B$43,1,0)</f>
        <v/>
      </c>
      <c r="X5" s="36">
        <f>IF(X3&gt;=Supuestos!$B$43,1,0)</f>
        <v/>
      </c>
      <c r="Y5" s="36">
        <f>IF(Y3&gt;=Supuestos!$B$43,1,0)</f>
        <v/>
      </c>
      <c r="Z5" s="36">
        <f>IF(Z3&gt;=Supuestos!$B$43,1,0)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7" t="inlineStr">
        <is>
          <t>MÉDICOS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</row>
    <row r="8">
      <c r="A8" s="5" t="inlineStr">
        <is>
          <t>Médicos nuevos</t>
        </is>
      </c>
      <c r="B8" s="2" t="n"/>
      <c r="C8" s="39">
        <f>Supuestos!$D$64</f>
        <v/>
      </c>
      <c r="D8" s="39">
        <f>Supuestos!$D$64</f>
        <v/>
      </c>
      <c r="E8" s="39">
        <f>Supuestos!$D$64</f>
        <v/>
      </c>
      <c r="F8" s="39">
        <f>Supuestos!$D$64</f>
        <v/>
      </c>
      <c r="G8" s="39">
        <f>Supuestos!$D$64</f>
        <v/>
      </c>
      <c r="H8" s="39">
        <f>Supuestos!$D$64</f>
        <v/>
      </c>
      <c r="I8" s="39">
        <f>Supuestos!$D$64</f>
        <v/>
      </c>
      <c r="J8" s="39">
        <f>Supuestos!$D$64</f>
        <v/>
      </c>
      <c r="K8" s="39">
        <f>Supuestos!$D$64</f>
        <v/>
      </c>
      <c r="L8" s="39">
        <f>Supuestos!$D$64</f>
        <v/>
      </c>
      <c r="M8" s="39">
        <f>Supuestos!$D$64</f>
        <v/>
      </c>
      <c r="N8" s="39">
        <f>Supuestos!$D$64</f>
        <v/>
      </c>
      <c r="O8" s="39">
        <f>Supuestos!$D$64</f>
        <v/>
      </c>
      <c r="P8" s="39">
        <f>Supuestos!$D$64</f>
        <v/>
      </c>
      <c r="Q8" s="39">
        <f>Supuestos!$D$64</f>
        <v/>
      </c>
      <c r="R8" s="39">
        <f>Supuestos!$D$64</f>
        <v/>
      </c>
      <c r="S8" s="39">
        <f>Supuestos!$D$64</f>
        <v/>
      </c>
      <c r="T8" s="39">
        <f>Supuestos!$D$64</f>
        <v/>
      </c>
      <c r="U8" s="39">
        <f>Supuestos!$D$64</f>
        <v/>
      </c>
      <c r="V8" s="39">
        <f>Supuestos!$D$64</f>
        <v/>
      </c>
      <c r="W8" s="39">
        <f>Supuestos!$D$64</f>
        <v/>
      </c>
      <c r="X8" s="39">
        <f>Supuestos!$D$64</f>
        <v/>
      </c>
      <c r="Y8" s="39">
        <f>Supuestos!$D$64</f>
        <v/>
      </c>
      <c r="Z8" s="39">
        <f>Supuestos!$D$64</f>
        <v/>
      </c>
    </row>
    <row r="9">
      <c r="A9" s="5" t="inlineStr">
        <is>
          <t>Fundadores nuevos</t>
        </is>
      </c>
      <c r="B9" s="2" t="n"/>
      <c r="C9" s="40">
        <f>MIN(C8,Supuestos!$B$9)</f>
        <v/>
      </c>
      <c r="D9" s="40">
        <f>MIN(D8,Supuestos!$B$9-C10)</f>
        <v/>
      </c>
      <c r="E9" s="40">
        <f>MIN(E8,Supuestos!$B$9-D10)</f>
        <v/>
      </c>
      <c r="F9" s="40">
        <f>MIN(F8,Supuestos!$B$9-E10)</f>
        <v/>
      </c>
      <c r="G9" s="40">
        <f>MIN(G8,Supuestos!$B$9-F10)</f>
        <v/>
      </c>
      <c r="H9" s="40">
        <f>MIN(H8,Supuestos!$B$9-G10)</f>
        <v/>
      </c>
      <c r="I9" s="40">
        <f>MIN(I8,Supuestos!$B$9-H10)</f>
        <v/>
      </c>
      <c r="J9" s="40">
        <f>MIN(J8,Supuestos!$B$9-I10)</f>
        <v/>
      </c>
      <c r="K9" s="40">
        <f>MIN(K8,Supuestos!$B$9-J10)</f>
        <v/>
      </c>
      <c r="L9" s="40">
        <f>MIN(L8,Supuestos!$B$9-K10)</f>
        <v/>
      </c>
      <c r="M9" s="40">
        <f>MIN(M8,Supuestos!$B$9-L10)</f>
        <v/>
      </c>
      <c r="N9" s="40">
        <f>MIN(N8,Supuestos!$B$9-M10)</f>
        <v/>
      </c>
      <c r="O9" s="40">
        <f>MIN(O8,Supuestos!$B$9-N10)</f>
        <v/>
      </c>
      <c r="P9" s="40">
        <f>MIN(P8,Supuestos!$B$9-O10)</f>
        <v/>
      </c>
      <c r="Q9" s="40">
        <f>MIN(Q8,Supuestos!$B$9-P10)</f>
        <v/>
      </c>
      <c r="R9" s="40">
        <f>MIN(R8,Supuestos!$B$9-Q10)</f>
        <v/>
      </c>
      <c r="S9" s="40">
        <f>MIN(S8,Supuestos!$B$9-R10)</f>
        <v/>
      </c>
      <c r="T9" s="40">
        <f>MIN(T8,Supuestos!$B$9-S10)</f>
        <v/>
      </c>
      <c r="U9" s="40">
        <f>MIN(U8,Supuestos!$B$9-T10)</f>
        <v/>
      </c>
      <c r="V9" s="40">
        <f>MIN(V8,Supuestos!$B$9-U10)</f>
        <v/>
      </c>
      <c r="W9" s="40">
        <f>MIN(W8,Supuestos!$B$9-V10)</f>
        <v/>
      </c>
      <c r="X9" s="40">
        <f>MIN(X8,Supuestos!$B$9-W10)</f>
        <v/>
      </c>
      <c r="Y9" s="40">
        <f>MIN(Y8,Supuestos!$B$9-X10)</f>
        <v/>
      </c>
      <c r="Z9" s="40">
        <f>MIN(Z8,Supuestos!$B$9-Y10)</f>
        <v/>
      </c>
    </row>
    <row r="10">
      <c r="A10" s="5" t="inlineStr">
        <is>
          <t>Fundadores inscritos (acumulado)</t>
        </is>
      </c>
      <c r="B10" s="2" t="n"/>
      <c r="C10" s="40">
        <f>C9</f>
        <v/>
      </c>
      <c r="D10" s="40">
        <f>C10+D9</f>
        <v/>
      </c>
      <c r="E10" s="40">
        <f>D10+E9</f>
        <v/>
      </c>
      <c r="F10" s="40">
        <f>E10+F9</f>
        <v/>
      </c>
      <c r="G10" s="40">
        <f>F10+G9</f>
        <v/>
      </c>
      <c r="H10" s="40">
        <f>G10+H9</f>
        <v/>
      </c>
      <c r="I10" s="40">
        <f>H10+I9</f>
        <v/>
      </c>
      <c r="J10" s="40">
        <f>I10+J9</f>
        <v/>
      </c>
      <c r="K10" s="40">
        <f>J10+K9</f>
        <v/>
      </c>
      <c r="L10" s="40">
        <f>K10+L9</f>
        <v/>
      </c>
      <c r="M10" s="40">
        <f>L10+M9</f>
        <v/>
      </c>
      <c r="N10" s="40">
        <f>M10+N9</f>
        <v/>
      </c>
      <c r="O10" s="40">
        <f>N10+O9</f>
        <v/>
      </c>
      <c r="P10" s="40">
        <f>O10+P9</f>
        <v/>
      </c>
      <c r="Q10" s="40">
        <f>P10+Q9</f>
        <v/>
      </c>
      <c r="R10" s="40">
        <f>Q10+R9</f>
        <v/>
      </c>
      <c r="S10" s="40">
        <f>R10+S9</f>
        <v/>
      </c>
      <c r="T10" s="40">
        <f>S10+T9</f>
        <v/>
      </c>
      <c r="U10" s="40">
        <f>T10+U9</f>
        <v/>
      </c>
      <c r="V10" s="40">
        <f>U10+V9</f>
        <v/>
      </c>
      <c r="W10" s="40">
        <f>V10+W9</f>
        <v/>
      </c>
      <c r="X10" s="40">
        <f>W10+X9</f>
        <v/>
      </c>
      <c r="Y10" s="40">
        <f>X10+Y9</f>
        <v/>
      </c>
      <c r="Z10" s="40">
        <f>Y10+Z9</f>
        <v/>
      </c>
    </row>
    <row r="11">
      <c r="A11" s="5" t="inlineStr">
        <is>
          <t>Nuevos no fundadores</t>
        </is>
      </c>
      <c r="B11" s="2" t="n"/>
      <c r="C11" s="40">
        <f>C8-C9</f>
        <v/>
      </c>
      <c r="D11" s="40">
        <f>D8-D9</f>
        <v/>
      </c>
      <c r="E11" s="40">
        <f>E8-E9</f>
        <v/>
      </c>
      <c r="F11" s="40">
        <f>F8-F9</f>
        <v/>
      </c>
      <c r="G11" s="40">
        <f>G8-G9</f>
        <v/>
      </c>
      <c r="H11" s="40">
        <f>H8-H9</f>
        <v/>
      </c>
      <c r="I11" s="40">
        <f>I8-I9</f>
        <v/>
      </c>
      <c r="J11" s="40">
        <f>J8-J9</f>
        <v/>
      </c>
      <c r="K11" s="40">
        <f>K8-K9</f>
        <v/>
      </c>
      <c r="L11" s="40">
        <f>L8-L9</f>
        <v/>
      </c>
      <c r="M11" s="40">
        <f>M8-M9</f>
        <v/>
      </c>
      <c r="N11" s="40">
        <f>N8-N9</f>
        <v/>
      </c>
      <c r="O11" s="40">
        <f>O8-O9</f>
        <v/>
      </c>
      <c r="P11" s="40">
        <f>P8-P9</f>
        <v/>
      </c>
      <c r="Q11" s="40">
        <f>Q8-Q9</f>
        <v/>
      </c>
      <c r="R11" s="40">
        <f>R8-R9</f>
        <v/>
      </c>
      <c r="S11" s="40">
        <f>S8-S9</f>
        <v/>
      </c>
      <c r="T11" s="40">
        <f>T8-T9</f>
        <v/>
      </c>
      <c r="U11" s="40">
        <f>U8-U9</f>
        <v/>
      </c>
      <c r="V11" s="40">
        <f>V8-V9</f>
        <v/>
      </c>
      <c r="W11" s="40">
        <f>W8-W9</f>
        <v/>
      </c>
      <c r="X11" s="40">
        <f>X8-X9</f>
        <v/>
      </c>
      <c r="Y11" s="40">
        <f>Y8-Y9</f>
        <v/>
      </c>
      <c r="Z11" s="40">
        <f>Z8-Z9</f>
        <v/>
      </c>
    </row>
    <row r="12">
      <c r="A12" s="5" t="inlineStr">
        <is>
          <t>Nuevos que eligen Clínico</t>
        </is>
      </c>
      <c r="B12" s="2" t="n"/>
      <c r="C12" s="40">
        <f>C11*C5*Supuestos!$D$66</f>
        <v/>
      </c>
      <c r="D12" s="40">
        <f>D11*D5*Supuestos!$D$66</f>
        <v/>
      </c>
      <c r="E12" s="40">
        <f>E11*E5*Supuestos!$D$66</f>
        <v/>
      </c>
      <c r="F12" s="40">
        <f>F11*F5*Supuestos!$D$66</f>
        <v/>
      </c>
      <c r="G12" s="40">
        <f>G11*G5*Supuestos!$D$66</f>
        <v/>
      </c>
      <c r="H12" s="40">
        <f>H11*H5*Supuestos!$D$66</f>
        <v/>
      </c>
      <c r="I12" s="40">
        <f>I11*I5*Supuestos!$D$66</f>
        <v/>
      </c>
      <c r="J12" s="40">
        <f>J11*J5*Supuestos!$D$66</f>
        <v/>
      </c>
      <c r="K12" s="40">
        <f>K11*K5*Supuestos!$D$66</f>
        <v/>
      </c>
      <c r="L12" s="40">
        <f>L11*L5*Supuestos!$D$66</f>
        <v/>
      </c>
      <c r="M12" s="40">
        <f>M11*M5*Supuestos!$D$66</f>
        <v/>
      </c>
      <c r="N12" s="40">
        <f>N11*N5*Supuestos!$D$66</f>
        <v/>
      </c>
      <c r="O12" s="40">
        <f>O11*O5*Supuestos!$D$66</f>
        <v/>
      </c>
      <c r="P12" s="40">
        <f>P11*P5*Supuestos!$D$66</f>
        <v/>
      </c>
      <c r="Q12" s="40">
        <f>Q11*Q5*Supuestos!$D$66</f>
        <v/>
      </c>
      <c r="R12" s="40">
        <f>R11*R5*Supuestos!$D$66</f>
        <v/>
      </c>
      <c r="S12" s="40">
        <f>S11*S5*Supuestos!$D$66</f>
        <v/>
      </c>
      <c r="T12" s="40">
        <f>T11*T5*Supuestos!$D$66</f>
        <v/>
      </c>
      <c r="U12" s="40">
        <f>U11*U5*Supuestos!$D$66</f>
        <v/>
      </c>
      <c r="V12" s="40">
        <f>V11*V5*Supuestos!$D$66</f>
        <v/>
      </c>
      <c r="W12" s="40">
        <f>W11*W5*Supuestos!$D$66</f>
        <v/>
      </c>
      <c r="X12" s="40">
        <f>X11*X5*Supuestos!$D$66</f>
        <v/>
      </c>
      <c r="Y12" s="40">
        <f>Y11*Y5*Supuestos!$D$66</f>
        <v/>
      </c>
      <c r="Z12" s="40">
        <f>Z11*Z5*Supuestos!$D$66</f>
        <v/>
      </c>
    </row>
    <row r="13">
      <c r="A13" s="5" t="inlineStr">
        <is>
          <t>Nuevos que eligen Red</t>
        </is>
      </c>
      <c r="B13" s="2" t="n"/>
      <c r="C13" s="40">
        <f>C11-C12</f>
        <v/>
      </c>
      <c r="D13" s="40">
        <f>D11-D12</f>
        <v/>
      </c>
      <c r="E13" s="40">
        <f>E11-E12</f>
        <v/>
      </c>
      <c r="F13" s="40">
        <f>F11-F12</f>
        <v/>
      </c>
      <c r="G13" s="40">
        <f>G11-G12</f>
        <v/>
      </c>
      <c r="H13" s="40">
        <f>H11-H12</f>
        <v/>
      </c>
      <c r="I13" s="40">
        <f>I11-I12</f>
        <v/>
      </c>
      <c r="J13" s="40">
        <f>J11-J12</f>
        <v/>
      </c>
      <c r="K13" s="40">
        <f>K11-K12</f>
        <v/>
      </c>
      <c r="L13" s="40">
        <f>L11-L12</f>
        <v/>
      </c>
      <c r="M13" s="40">
        <f>M11-M12</f>
        <v/>
      </c>
      <c r="N13" s="40">
        <f>N11-N12</f>
        <v/>
      </c>
      <c r="O13" s="40">
        <f>O11-O12</f>
        <v/>
      </c>
      <c r="P13" s="40">
        <f>P11-P12</f>
        <v/>
      </c>
      <c r="Q13" s="40">
        <f>Q11-Q12</f>
        <v/>
      </c>
      <c r="R13" s="40">
        <f>R11-R12</f>
        <v/>
      </c>
      <c r="S13" s="40">
        <f>S11-S12</f>
        <v/>
      </c>
      <c r="T13" s="40">
        <f>T11-T12</f>
        <v/>
      </c>
      <c r="U13" s="40">
        <f>U11-U12</f>
        <v/>
      </c>
      <c r="V13" s="40">
        <f>V11-V12</f>
        <v/>
      </c>
      <c r="W13" s="40">
        <f>W11-W12</f>
        <v/>
      </c>
      <c r="X13" s="40">
        <f>X11-X12</f>
        <v/>
      </c>
      <c r="Y13" s="40">
        <f>Y11-Y12</f>
        <v/>
      </c>
      <c r="Z13" s="40">
        <f>Z11-Z12</f>
        <v/>
      </c>
    </row>
    <row r="14">
      <c r="A14" s="5" t="inlineStr">
        <is>
          <t>Fundadores activos</t>
        </is>
      </c>
      <c r="B14" s="2" t="n"/>
      <c r="C14" s="40">
        <f>C9</f>
        <v/>
      </c>
      <c r="D14" s="40">
        <f>C14*(1-Supuestos!$D$65)+D9</f>
        <v/>
      </c>
      <c r="E14" s="40">
        <f>D14*(1-Supuestos!$D$65)+E9</f>
        <v/>
      </c>
      <c r="F14" s="40">
        <f>E14*(1-Supuestos!$D$65)+F9</f>
        <v/>
      </c>
      <c r="G14" s="40">
        <f>F14*(1-Supuestos!$D$65)+G9</f>
        <v/>
      </c>
      <c r="H14" s="40">
        <f>G14*(1-Supuestos!$D$65)+H9</f>
        <v/>
      </c>
      <c r="I14" s="40">
        <f>H14*(1-Supuestos!$D$65)+I9</f>
        <v/>
      </c>
      <c r="J14" s="40">
        <f>I14*(1-Supuestos!$D$65)+J9</f>
        <v/>
      </c>
      <c r="K14" s="40">
        <f>J14*(1-Supuestos!$D$65)+K9</f>
        <v/>
      </c>
      <c r="L14" s="40">
        <f>K14*(1-Supuestos!$D$65)+L9</f>
        <v/>
      </c>
      <c r="M14" s="40">
        <f>L14*(1-Supuestos!$D$65)+M9</f>
        <v/>
      </c>
      <c r="N14" s="40">
        <f>M14*(1-Supuestos!$D$65)+N9</f>
        <v/>
      </c>
      <c r="O14" s="40">
        <f>N14*(1-Supuestos!$D$65)+O9</f>
        <v/>
      </c>
      <c r="P14" s="40">
        <f>O14*(1-Supuestos!$D$65)+P9</f>
        <v/>
      </c>
      <c r="Q14" s="40">
        <f>P14*(1-Supuestos!$D$65)+Q9</f>
        <v/>
      </c>
      <c r="R14" s="40">
        <f>Q14*(1-Supuestos!$D$65)+R9</f>
        <v/>
      </c>
      <c r="S14" s="40">
        <f>R14*(1-Supuestos!$D$65)+S9</f>
        <v/>
      </c>
      <c r="T14" s="40">
        <f>S14*(1-Supuestos!$D$65)+T9</f>
        <v/>
      </c>
      <c r="U14" s="40">
        <f>T14*(1-Supuestos!$D$65)+U9</f>
        <v/>
      </c>
      <c r="V14" s="40">
        <f>U14*(1-Supuestos!$D$65)+V9</f>
        <v/>
      </c>
      <c r="W14" s="40">
        <f>V14*(1-Supuestos!$D$65)+W9</f>
        <v/>
      </c>
      <c r="X14" s="40">
        <f>W14*(1-Supuestos!$D$65)+X9</f>
        <v/>
      </c>
      <c r="Y14" s="40">
        <f>X14*(1-Supuestos!$D$65)+Y9</f>
        <v/>
      </c>
      <c r="Z14" s="40">
        <f>Y14*(1-Supuestos!$D$65)+Z9</f>
        <v/>
      </c>
    </row>
    <row r="15">
      <c r="A15" s="5" t="inlineStr">
        <is>
          <t>Suben de Red a Clínico</t>
        </is>
      </c>
      <c r="B15" s="2" t="n"/>
      <c r="C15" s="40">
        <f>0</f>
        <v/>
      </c>
      <c r="D15" s="40">
        <f>C16*(1-Supuestos!$D$65)*D5*Supuestos!$D$67</f>
        <v/>
      </c>
      <c r="E15" s="40">
        <f>D16*(1-Supuestos!$D$65)*E5*Supuestos!$D$67</f>
        <v/>
      </c>
      <c r="F15" s="40">
        <f>E16*(1-Supuestos!$D$65)*F5*Supuestos!$D$67</f>
        <v/>
      </c>
      <c r="G15" s="40">
        <f>F16*(1-Supuestos!$D$65)*G5*Supuestos!$D$67</f>
        <v/>
      </c>
      <c r="H15" s="40">
        <f>G16*(1-Supuestos!$D$65)*H5*Supuestos!$D$67</f>
        <v/>
      </c>
      <c r="I15" s="40">
        <f>H16*(1-Supuestos!$D$65)*I5*Supuestos!$D$67</f>
        <v/>
      </c>
      <c r="J15" s="40">
        <f>I16*(1-Supuestos!$D$65)*J5*Supuestos!$D$67</f>
        <v/>
      </c>
      <c r="K15" s="40">
        <f>J16*(1-Supuestos!$D$65)*K5*Supuestos!$D$67</f>
        <v/>
      </c>
      <c r="L15" s="40">
        <f>K16*(1-Supuestos!$D$65)*L5*Supuestos!$D$67</f>
        <v/>
      </c>
      <c r="M15" s="40">
        <f>L16*(1-Supuestos!$D$65)*M5*Supuestos!$D$67</f>
        <v/>
      </c>
      <c r="N15" s="40">
        <f>M16*(1-Supuestos!$D$65)*N5*Supuestos!$D$67</f>
        <v/>
      </c>
      <c r="O15" s="40">
        <f>N16*(1-Supuestos!$D$65)*O5*Supuestos!$D$67</f>
        <v/>
      </c>
      <c r="P15" s="40">
        <f>O16*(1-Supuestos!$D$65)*P5*Supuestos!$D$67</f>
        <v/>
      </c>
      <c r="Q15" s="40">
        <f>P16*(1-Supuestos!$D$65)*Q5*Supuestos!$D$67</f>
        <v/>
      </c>
      <c r="R15" s="40">
        <f>Q16*(1-Supuestos!$D$65)*R5*Supuestos!$D$67</f>
        <v/>
      </c>
      <c r="S15" s="40">
        <f>R16*(1-Supuestos!$D$65)*S5*Supuestos!$D$67</f>
        <v/>
      </c>
      <c r="T15" s="40">
        <f>S16*(1-Supuestos!$D$65)*T5*Supuestos!$D$67</f>
        <v/>
      </c>
      <c r="U15" s="40">
        <f>T16*(1-Supuestos!$D$65)*U5*Supuestos!$D$67</f>
        <v/>
      </c>
      <c r="V15" s="40">
        <f>U16*(1-Supuestos!$D$65)*V5*Supuestos!$D$67</f>
        <v/>
      </c>
      <c r="W15" s="40">
        <f>V16*(1-Supuestos!$D$65)*W5*Supuestos!$D$67</f>
        <v/>
      </c>
      <c r="X15" s="40">
        <f>W16*(1-Supuestos!$D$65)*X5*Supuestos!$D$67</f>
        <v/>
      </c>
      <c r="Y15" s="40">
        <f>X16*(1-Supuestos!$D$65)*Y5*Supuestos!$D$67</f>
        <v/>
      </c>
      <c r="Z15" s="40">
        <f>Y16*(1-Supuestos!$D$65)*Z5*Supuestos!$D$67</f>
        <v/>
      </c>
    </row>
    <row r="16">
      <c r="A16" s="5" t="inlineStr">
        <is>
          <t>Red activos</t>
        </is>
      </c>
      <c r="B16" s="2" t="n"/>
      <c r="C16" s="40">
        <f>C13</f>
        <v/>
      </c>
      <c r="D16" s="40">
        <f>C16*(1-Supuestos!$D$65)-D15+D13</f>
        <v/>
      </c>
      <c r="E16" s="40">
        <f>D16*(1-Supuestos!$D$65)-E15+E13</f>
        <v/>
      </c>
      <c r="F16" s="40">
        <f>E16*(1-Supuestos!$D$65)-F15+F13</f>
        <v/>
      </c>
      <c r="G16" s="40">
        <f>F16*(1-Supuestos!$D$65)-G15+G13</f>
        <v/>
      </c>
      <c r="H16" s="40">
        <f>G16*(1-Supuestos!$D$65)-H15+H13</f>
        <v/>
      </c>
      <c r="I16" s="40">
        <f>H16*(1-Supuestos!$D$65)-I15+I13</f>
        <v/>
      </c>
      <c r="J16" s="40">
        <f>I16*(1-Supuestos!$D$65)-J15+J13</f>
        <v/>
      </c>
      <c r="K16" s="40">
        <f>J16*(1-Supuestos!$D$65)-K15+K13</f>
        <v/>
      </c>
      <c r="L16" s="40">
        <f>K16*(1-Supuestos!$D$65)-L15+L13</f>
        <v/>
      </c>
      <c r="M16" s="40">
        <f>L16*(1-Supuestos!$D$65)-M15+M13</f>
        <v/>
      </c>
      <c r="N16" s="40">
        <f>M16*(1-Supuestos!$D$65)-N15+N13</f>
        <v/>
      </c>
      <c r="O16" s="40">
        <f>N16*(1-Supuestos!$D$65)-O15+O13</f>
        <v/>
      </c>
      <c r="P16" s="40">
        <f>O16*(1-Supuestos!$D$65)-P15+P13</f>
        <v/>
      </c>
      <c r="Q16" s="40">
        <f>P16*(1-Supuestos!$D$65)-Q15+Q13</f>
        <v/>
      </c>
      <c r="R16" s="40">
        <f>Q16*(1-Supuestos!$D$65)-R15+R13</f>
        <v/>
      </c>
      <c r="S16" s="40">
        <f>R16*(1-Supuestos!$D$65)-S15+S13</f>
        <v/>
      </c>
      <c r="T16" s="40">
        <f>S16*(1-Supuestos!$D$65)-T15+T13</f>
        <v/>
      </c>
      <c r="U16" s="40">
        <f>T16*(1-Supuestos!$D$65)-U15+U13</f>
        <v/>
      </c>
      <c r="V16" s="40">
        <f>U16*(1-Supuestos!$D$65)-V15+V13</f>
        <v/>
      </c>
      <c r="W16" s="40">
        <f>V16*(1-Supuestos!$D$65)-W15+W13</f>
        <v/>
      </c>
      <c r="X16" s="40">
        <f>W16*(1-Supuestos!$D$65)-X15+X13</f>
        <v/>
      </c>
      <c r="Y16" s="40">
        <f>X16*(1-Supuestos!$D$65)-Y15+Y13</f>
        <v/>
      </c>
      <c r="Z16" s="40">
        <f>Y16*(1-Supuestos!$D$65)-Z15+Z13</f>
        <v/>
      </c>
    </row>
    <row r="17">
      <c r="A17" s="5" t="inlineStr">
        <is>
          <t>Clínico activos (precio completo)</t>
        </is>
      </c>
      <c r="B17" s="2" t="n"/>
      <c r="C17" s="40">
        <f>C12</f>
        <v/>
      </c>
      <c r="D17" s="40">
        <f>C17*(1-Supuestos!$D$65)+D12+D15</f>
        <v/>
      </c>
      <c r="E17" s="40">
        <f>D17*(1-Supuestos!$D$65)+E12+E15</f>
        <v/>
      </c>
      <c r="F17" s="40">
        <f>E17*(1-Supuestos!$D$65)+F12+F15</f>
        <v/>
      </c>
      <c r="G17" s="40">
        <f>F17*(1-Supuestos!$D$65)+G12+G15</f>
        <v/>
      </c>
      <c r="H17" s="40">
        <f>G17*(1-Supuestos!$D$65)+H12+H15</f>
        <v/>
      </c>
      <c r="I17" s="40">
        <f>H17*(1-Supuestos!$D$65)+I12+I15</f>
        <v/>
      </c>
      <c r="J17" s="40">
        <f>I17*(1-Supuestos!$D$65)+J12+J15</f>
        <v/>
      </c>
      <c r="K17" s="40">
        <f>J17*(1-Supuestos!$D$65)+K12+K15</f>
        <v/>
      </c>
      <c r="L17" s="40">
        <f>K17*(1-Supuestos!$D$65)+L12+L15</f>
        <v/>
      </c>
      <c r="M17" s="40">
        <f>L17*(1-Supuestos!$D$65)+M12+M15</f>
        <v/>
      </c>
      <c r="N17" s="40">
        <f>M17*(1-Supuestos!$D$65)+N12+N15</f>
        <v/>
      </c>
      <c r="O17" s="40">
        <f>N17*(1-Supuestos!$D$65)+O12+O15</f>
        <v/>
      </c>
      <c r="P17" s="40">
        <f>O17*(1-Supuestos!$D$65)+P12+P15</f>
        <v/>
      </c>
      <c r="Q17" s="40">
        <f>P17*(1-Supuestos!$D$65)+Q12+Q15</f>
        <v/>
      </c>
      <c r="R17" s="40">
        <f>Q17*(1-Supuestos!$D$65)+R12+R15</f>
        <v/>
      </c>
      <c r="S17" s="40">
        <f>R17*(1-Supuestos!$D$65)+S12+S15</f>
        <v/>
      </c>
      <c r="T17" s="40">
        <f>S17*(1-Supuestos!$D$65)+T12+T15</f>
        <v/>
      </c>
      <c r="U17" s="40">
        <f>T17*(1-Supuestos!$D$65)+U12+U15</f>
        <v/>
      </c>
      <c r="V17" s="40">
        <f>U17*(1-Supuestos!$D$65)+V12+V15</f>
        <v/>
      </c>
      <c r="W17" s="40">
        <f>V17*(1-Supuestos!$D$65)+W12+W15</f>
        <v/>
      </c>
      <c r="X17" s="40">
        <f>W17*(1-Supuestos!$D$65)+X12+X15</f>
        <v/>
      </c>
      <c r="Y17" s="40">
        <f>X17*(1-Supuestos!$D$65)+Y12+Y15</f>
        <v/>
      </c>
      <c r="Z17" s="40">
        <f>Y17*(1-Supuestos!$D$65)+Z12+Z15</f>
        <v/>
      </c>
    </row>
    <row r="18">
      <c r="A18" s="5" t="inlineStr">
        <is>
          <t>Médicos Regene nuevos</t>
        </is>
      </c>
      <c r="B18" s="2" t="n"/>
      <c r="C18" s="40">
        <f>IF(C3&gt;=Supuestos!$B$57,Supuestos!$B$56*Supuestos!$D$69/MAX(1,25-Supuestos!$B$57),0)</f>
        <v/>
      </c>
      <c r="D18" s="40">
        <f>IF(D3&gt;=Supuestos!$B$57,Supuestos!$B$56*Supuestos!$D$69/MAX(1,25-Supuestos!$B$57),0)</f>
        <v/>
      </c>
      <c r="E18" s="40">
        <f>IF(E3&gt;=Supuestos!$B$57,Supuestos!$B$56*Supuestos!$D$69/MAX(1,25-Supuestos!$B$57),0)</f>
        <v/>
      </c>
      <c r="F18" s="40">
        <f>IF(F3&gt;=Supuestos!$B$57,Supuestos!$B$56*Supuestos!$D$69/MAX(1,25-Supuestos!$B$57),0)</f>
        <v/>
      </c>
      <c r="G18" s="40">
        <f>IF(G3&gt;=Supuestos!$B$57,Supuestos!$B$56*Supuestos!$D$69/MAX(1,25-Supuestos!$B$57),0)</f>
        <v/>
      </c>
      <c r="H18" s="40">
        <f>IF(H3&gt;=Supuestos!$B$57,Supuestos!$B$56*Supuestos!$D$69/MAX(1,25-Supuestos!$B$57),0)</f>
        <v/>
      </c>
      <c r="I18" s="40">
        <f>IF(I3&gt;=Supuestos!$B$57,Supuestos!$B$56*Supuestos!$D$69/MAX(1,25-Supuestos!$B$57),0)</f>
        <v/>
      </c>
      <c r="J18" s="40">
        <f>IF(J3&gt;=Supuestos!$B$57,Supuestos!$B$56*Supuestos!$D$69/MAX(1,25-Supuestos!$B$57),0)</f>
        <v/>
      </c>
      <c r="K18" s="40">
        <f>IF(K3&gt;=Supuestos!$B$57,Supuestos!$B$56*Supuestos!$D$69/MAX(1,25-Supuestos!$B$57),0)</f>
        <v/>
      </c>
      <c r="L18" s="40">
        <f>IF(L3&gt;=Supuestos!$B$57,Supuestos!$B$56*Supuestos!$D$69/MAX(1,25-Supuestos!$B$57),0)</f>
        <v/>
      </c>
      <c r="M18" s="40">
        <f>IF(M3&gt;=Supuestos!$B$57,Supuestos!$B$56*Supuestos!$D$69/MAX(1,25-Supuestos!$B$57),0)</f>
        <v/>
      </c>
      <c r="N18" s="40">
        <f>IF(N3&gt;=Supuestos!$B$57,Supuestos!$B$56*Supuestos!$D$69/MAX(1,25-Supuestos!$B$57),0)</f>
        <v/>
      </c>
      <c r="O18" s="40">
        <f>IF(O3&gt;=Supuestos!$B$57,Supuestos!$B$56*Supuestos!$D$69/MAX(1,25-Supuestos!$B$57),0)</f>
        <v/>
      </c>
      <c r="P18" s="40">
        <f>IF(P3&gt;=Supuestos!$B$57,Supuestos!$B$56*Supuestos!$D$69/MAX(1,25-Supuestos!$B$57),0)</f>
        <v/>
      </c>
      <c r="Q18" s="40">
        <f>IF(Q3&gt;=Supuestos!$B$57,Supuestos!$B$56*Supuestos!$D$69/MAX(1,25-Supuestos!$B$57),0)</f>
        <v/>
      </c>
      <c r="R18" s="40">
        <f>IF(R3&gt;=Supuestos!$B$57,Supuestos!$B$56*Supuestos!$D$69/MAX(1,25-Supuestos!$B$57),0)</f>
        <v/>
      </c>
      <c r="S18" s="40">
        <f>IF(S3&gt;=Supuestos!$B$57,Supuestos!$B$56*Supuestos!$D$69/MAX(1,25-Supuestos!$B$57),0)</f>
        <v/>
      </c>
      <c r="T18" s="40">
        <f>IF(T3&gt;=Supuestos!$B$57,Supuestos!$B$56*Supuestos!$D$69/MAX(1,25-Supuestos!$B$57),0)</f>
        <v/>
      </c>
      <c r="U18" s="40">
        <f>IF(U3&gt;=Supuestos!$B$57,Supuestos!$B$56*Supuestos!$D$69/MAX(1,25-Supuestos!$B$57),0)</f>
        <v/>
      </c>
      <c r="V18" s="40">
        <f>IF(V3&gt;=Supuestos!$B$57,Supuestos!$B$56*Supuestos!$D$69/MAX(1,25-Supuestos!$B$57),0)</f>
        <v/>
      </c>
      <c r="W18" s="40">
        <f>IF(W3&gt;=Supuestos!$B$57,Supuestos!$B$56*Supuestos!$D$69/MAX(1,25-Supuestos!$B$57),0)</f>
        <v/>
      </c>
      <c r="X18" s="40">
        <f>IF(X3&gt;=Supuestos!$B$57,Supuestos!$B$56*Supuestos!$D$69/MAX(1,25-Supuestos!$B$57),0)</f>
        <v/>
      </c>
      <c r="Y18" s="40">
        <f>IF(Y3&gt;=Supuestos!$B$57,Supuestos!$B$56*Supuestos!$D$69/MAX(1,25-Supuestos!$B$57),0)</f>
        <v/>
      </c>
      <c r="Z18" s="40">
        <f>IF(Z3&gt;=Supuestos!$B$57,Supuestos!$B$56*Supuestos!$D$69/MAX(1,25-Supuestos!$B$57),0)</f>
        <v/>
      </c>
    </row>
    <row r="19">
      <c r="A19" s="5" t="inlineStr">
        <is>
          <t>Médicos Regene activos (Clínico con descuento)</t>
        </is>
      </c>
      <c r="B19" s="2" t="n"/>
      <c r="C19" s="40">
        <f>C18</f>
        <v/>
      </c>
      <c r="D19" s="40">
        <f>C19*(1-Supuestos!$D$65)+D18</f>
        <v/>
      </c>
      <c r="E19" s="40">
        <f>D19*(1-Supuestos!$D$65)+E18</f>
        <v/>
      </c>
      <c r="F19" s="40">
        <f>E19*(1-Supuestos!$D$65)+F18</f>
        <v/>
      </c>
      <c r="G19" s="40">
        <f>F19*(1-Supuestos!$D$65)+G18</f>
        <v/>
      </c>
      <c r="H19" s="40">
        <f>G19*(1-Supuestos!$D$65)+H18</f>
        <v/>
      </c>
      <c r="I19" s="40">
        <f>H19*(1-Supuestos!$D$65)+I18</f>
        <v/>
      </c>
      <c r="J19" s="40">
        <f>I19*(1-Supuestos!$D$65)+J18</f>
        <v/>
      </c>
      <c r="K19" s="40">
        <f>J19*(1-Supuestos!$D$65)+K18</f>
        <v/>
      </c>
      <c r="L19" s="40">
        <f>K19*(1-Supuestos!$D$65)+L18</f>
        <v/>
      </c>
      <c r="M19" s="40">
        <f>L19*(1-Supuestos!$D$65)+M18</f>
        <v/>
      </c>
      <c r="N19" s="40">
        <f>M19*(1-Supuestos!$D$65)+N18</f>
        <v/>
      </c>
      <c r="O19" s="40">
        <f>N19*(1-Supuestos!$D$65)+O18</f>
        <v/>
      </c>
      <c r="P19" s="40">
        <f>O19*(1-Supuestos!$D$65)+P18</f>
        <v/>
      </c>
      <c r="Q19" s="40">
        <f>P19*(1-Supuestos!$D$65)+Q18</f>
        <v/>
      </c>
      <c r="R19" s="40">
        <f>Q19*(1-Supuestos!$D$65)+R18</f>
        <v/>
      </c>
      <c r="S19" s="40">
        <f>R19*(1-Supuestos!$D$65)+S18</f>
        <v/>
      </c>
      <c r="T19" s="40">
        <f>S19*(1-Supuestos!$D$65)+T18</f>
        <v/>
      </c>
      <c r="U19" s="40">
        <f>T19*(1-Supuestos!$D$65)+U18</f>
        <v/>
      </c>
      <c r="V19" s="40">
        <f>U19*(1-Supuestos!$D$65)+V18</f>
        <v/>
      </c>
      <c r="W19" s="40">
        <f>V19*(1-Supuestos!$D$65)+W18</f>
        <v/>
      </c>
      <c r="X19" s="40">
        <f>W19*(1-Supuestos!$D$65)+X18</f>
        <v/>
      </c>
      <c r="Y19" s="40">
        <f>X19*(1-Supuestos!$D$65)+Y18</f>
        <v/>
      </c>
      <c r="Z19" s="40">
        <f>Y19*(1-Supuestos!$D$65)+Z18</f>
        <v/>
      </c>
    </row>
    <row r="20">
      <c r="A20" s="5" t="inlineStr">
        <is>
          <t>Total médicos activos</t>
        </is>
      </c>
      <c r="B20" s="2" t="n"/>
      <c r="C20" s="40">
        <f>C14+C16+C17+C19</f>
        <v/>
      </c>
      <c r="D20" s="40">
        <f>D14+D16+D17+D19</f>
        <v/>
      </c>
      <c r="E20" s="40">
        <f>E14+E16+E17+E19</f>
        <v/>
      </c>
      <c r="F20" s="40">
        <f>F14+F16+F17+F19</f>
        <v/>
      </c>
      <c r="G20" s="40">
        <f>G14+G16+G17+G19</f>
        <v/>
      </c>
      <c r="H20" s="40">
        <f>H14+H16+H17+H19</f>
        <v/>
      </c>
      <c r="I20" s="40">
        <f>I14+I16+I17+I19</f>
        <v/>
      </c>
      <c r="J20" s="40">
        <f>J14+J16+J17+J19</f>
        <v/>
      </c>
      <c r="K20" s="40">
        <f>K14+K16+K17+K19</f>
        <v/>
      </c>
      <c r="L20" s="40">
        <f>L14+L16+L17+L19</f>
        <v/>
      </c>
      <c r="M20" s="40">
        <f>M14+M16+M17+M19</f>
        <v/>
      </c>
      <c r="N20" s="40">
        <f>N14+N16+N17+N19</f>
        <v/>
      </c>
      <c r="O20" s="40">
        <f>O14+O16+O17+O19</f>
        <v/>
      </c>
      <c r="P20" s="40">
        <f>P14+P16+P17+P19</f>
        <v/>
      </c>
      <c r="Q20" s="40">
        <f>Q14+Q16+Q17+Q19</f>
        <v/>
      </c>
      <c r="R20" s="40">
        <f>R14+R16+R17+R19</f>
        <v/>
      </c>
      <c r="S20" s="40">
        <f>S14+S16+S17+S19</f>
        <v/>
      </c>
      <c r="T20" s="40">
        <f>T14+T16+T17+T19</f>
        <v/>
      </c>
      <c r="U20" s="40">
        <f>U14+U16+U17+U19</f>
        <v/>
      </c>
      <c r="V20" s="40">
        <f>V14+V16+V17+V19</f>
        <v/>
      </c>
      <c r="W20" s="40">
        <f>W14+W16+W17+W19</f>
        <v/>
      </c>
      <c r="X20" s="40">
        <f>X14+X16+X17+X19</f>
        <v/>
      </c>
      <c r="Y20" s="40">
        <f>Y14+Y16+Y17+Y19</f>
        <v/>
      </c>
      <c r="Z20" s="40">
        <f>Z14+Z16+Z17+Z19</f>
        <v/>
      </c>
    </row>
    <row r="21">
      <c r="A21" s="5" t="inlineStr">
        <is>
          <t>Médicos usando el portal clínico</t>
        </is>
      </c>
      <c r="B21" s="2" t="n"/>
      <c r="C21" s="40">
        <f>C17+C19+C14*C5</f>
        <v/>
      </c>
      <c r="D21" s="40">
        <f>D17+D19+D14*D5</f>
        <v/>
      </c>
      <c r="E21" s="40">
        <f>E17+E19+E14*E5</f>
        <v/>
      </c>
      <c r="F21" s="40">
        <f>F17+F19+F14*F5</f>
        <v/>
      </c>
      <c r="G21" s="40">
        <f>G17+G19+G14*G5</f>
        <v/>
      </c>
      <c r="H21" s="40">
        <f>H17+H19+H14*H5</f>
        <v/>
      </c>
      <c r="I21" s="40">
        <f>I17+I19+I14*I5</f>
        <v/>
      </c>
      <c r="J21" s="40">
        <f>J17+J19+J14*J5</f>
        <v/>
      </c>
      <c r="K21" s="40">
        <f>K17+K19+K14*K5</f>
        <v/>
      </c>
      <c r="L21" s="40">
        <f>L17+L19+L14*L5</f>
        <v/>
      </c>
      <c r="M21" s="40">
        <f>M17+M19+M14*M5</f>
        <v/>
      </c>
      <c r="N21" s="40">
        <f>N17+N19+N14*N5</f>
        <v/>
      </c>
      <c r="O21" s="40">
        <f>O17+O19+O14*O5</f>
        <v/>
      </c>
      <c r="P21" s="40">
        <f>P17+P19+P14*P5</f>
        <v/>
      </c>
      <c r="Q21" s="40">
        <f>Q17+Q19+Q14*Q5</f>
        <v/>
      </c>
      <c r="R21" s="40">
        <f>R17+R19+R14*R5</f>
        <v/>
      </c>
      <c r="S21" s="40">
        <f>S17+S19+S14*S5</f>
        <v/>
      </c>
      <c r="T21" s="40">
        <f>T17+T19+T14*T5</f>
        <v/>
      </c>
      <c r="U21" s="40">
        <f>U17+U19+U14*U5</f>
        <v/>
      </c>
      <c r="V21" s="40">
        <f>V17+V19+V14*V5</f>
        <v/>
      </c>
      <c r="W21" s="40">
        <f>W17+W19+W14*W5</f>
        <v/>
      </c>
      <c r="X21" s="40">
        <f>X17+X19+X14*X5</f>
        <v/>
      </c>
      <c r="Y21" s="40">
        <f>Y17+Y19+Y14*Y5</f>
        <v/>
      </c>
      <c r="Z21" s="40">
        <f>Z17+Z19+Z14*Z5</f>
        <v/>
      </c>
    </row>
    <row r="22">
      <c r="A22" s="5" t="inlineStr">
        <is>
          <t>Médicos usando solo Red</t>
        </is>
      </c>
      <c r="B22" s="2" t="n"/>
      <c r="C22" s="40">
        <f>C20-C21</f>
        <v/>
      </c>
      <c r="D22" s="40">
        <f>D20-D21</f>
        <v/>
      </c>
      <c r="E22" s="40">
        <f>E20-E21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  <c r="N22" s="40">
        <f>N20-N21</f>
        <v/>
      </c>
      <c r="O22" s="40">
        <f>O20-O21</f>
        <v/>
      </c>
      <c r="P22" s="40">
        <f>P20-P21</f>
        <v/>
      </c>
      <c r="Q22" s="40">
        <f>Q20-Q21</f>
        <v/>
      </c>
      <c r="R22" s="40">
        <f>R20-R21</f>
        <v/>
      </c>
      <c r="S22" s="40">
        <f>S20-S21</f>
        <v/>
      </c>
      <c r="T22" s="40">
        <f>T20-T21</f>
        <v/>
      </c>
      <c r="U22" s="40">
        <f>U20-U21</f>
        <v/>
      </c>
      <c r="V22" s="40">
        <f>V20-V21</f>
        <v/>
      </c>
      <c r="W22" s="40">
        <f>W20-W21</f>
        <v/>
      </c>
      <c r="X22" s="40">
        <f>X20-X21</f>
        <v/>
      </c>
      <c r="Y22" s="40">
        <f>Y20-Y21</f>
        <v/>
      </c>
      <c r="Z22" s="40">
        <f>Z20-Z21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7" t="inlineStr">
        <is>
          <t>INGRESOS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>
      <c r="A25" s="5" t="inlineStr">
        <is>
          <t>Fundadores</t>
        </is>
      </c>
      <c r="B25" s="2" t="n"/>
      <c r="C25" s="12">
        <f>C14*IF(C5=1,Supuestos!$B$8,Supuestos!$B$7)/(1+Supuestos!$B$10)</f>
        <v/>
      </c>
      <c r="D25" s="12">
        <f>D14*IF(D5=1,Supuestos!$B$8,Supuestos!$B$7)/(1+Supuestos!$B$10)</f>
        <v/>
      </c>
      <c r="E25" s="12">
        <f>E14*IF(E5=1,Supuestos!$B$8,Supuestos!$B$7)/(1+Supuestos!$B$10)</f>
        <v/>
      </c>
      <c r="F25" s="12">
        <f>F14*IF(F5=1,Supuestos!$B$8,Supuestos!$B$7)/(1+Supuestos!$B$10)</f>
        <v/>
      </c>
      <c r="G25" s="12">
        <f>G14*IF(G5=1,Supuestos!$B$8,Supuestos!$B$7)/(1+Supuestos!$B$10)</f>
        <v/>
      </c>
      <c r="H25" s="12">
        <f>H14*IF(H5=1,Supuestos!$B$8,Supuestos!$B$7)/(1+Supuestos!$B$10)</f>
        <v/>
      </c>
      <c r="I25" s="12">
        <f>I14*IF(I5=1,Supuestos!$B$8,Supuestos!$B$7)/(1+Supuestos!$B$10)</f>
        <v/>
      </c>
      <c r="J25" s="12">
        <f>J14*IF(J5=1,Supuestos!$B$8,Supuestos!$B$7)/(1+Supuestos!$B$10)</f>
        <v/>
      </c>
      <c r="K25" s="12">
        <f>K14*IF(K5=1,Supuestos!$B$8,Supuestos!$B$7)/(1+Supuestos!$B$10)</f>
        <v/>
      </c>
      <c r="L25" s="12">
        <f>L14*IF(L5=1,Supuestos!$B$8,Supuestos!$B$7)/(1+Supuestos!$B$10)</f>
        <v/>
      </c>
      <c r="M25" s="12">
        <f>M14*IF(M5=1,Supuestos!$B$8,Supuestos!$B$7)/(1+Supuestos!$B$10)</f>
        <v/>
      </c>
      <c r="N25" s="12">
        <f>N14*IF(N5=1,Supuestos!$B$8,Supuestos!$B$7)/(1+Supuestos!$B$10)</f>
        <v/>
      </c>
      <c r="O25" s="12">
        <f>O14*IF(O5=1,Supuestos!$B$8,Supuestos!$B$7)/(1+Supuestos!$B$10)</f>
        <v/>
      </c>
      <c r="P25" s="12">
        <f>P14*IF(P5=1,Supuestos!$B$8,Supuestos!$B$7)/(1+Supuestos!$B$10)</f>
        <v/>
      </c>
      <c r="Q25" s="12">
        <f>Q14*IF(Q5=1,Supuestos!$B$8,Supuestos!$B$7)/(1+Supuestos!$B$10)</f>
        <v/>
      </c>
      <c r="R25" s="12">
        <f>R14*IF(R5=1,Supuestos!$B$8,Supuestos!$B$7)/(1+Supuestos!$B$10)</f>
        <v/>
      </c>
      <c r="S25" s="12">
        <f>S14*IF(S5=1,Supuestos!$B$8,Supuestos!$B$7)/(1+Supuestos!$B$10)</f>
        <v/>
      </c>
      <c r="T25" s="12">
        <f>T14*IF(T5=1,Supuestos!$B$8,Supuestos!$B$7)/(1+Supuestos!$B$10)</f>
        <v/>
      </c>
      <c r="U25" s="12">
        <f>U14*IF(U5=1,Supuestos!$B$8,Supuestos!$B$7)/(1+Supuestos!$B$10)</f>
        <v/>
      </c>
      <c r="V25" s="12">
        <f>V14*IF(V5=1,Supuestos!$B$8,Supuestos!$B$7)/(1+Supuestos!$B$10)</f>
        <v/>
      </c>
      <c r="W25" s="12">
        <f>W14*IF(W5=1,Supuestos!$B$8,Supuestos!$B$7)/(1+Supuestos!$B$10)</f>
        <v/>
      </c>
      <c r="X25" s="12">
        <f>X14*IF(X5=1,Supuestos!$B$8,Supuestos!$B$7)/(1+Supuestos!$B$10)</f>
        <v/>
      </c>
      <c r="Y25" s="12">
        <f>Y14*IF(Y5=1,Supuestos!$B$8,Supuestos!$B$7)/(1+Supuestos!$B$10)</f>
        <v/>
      </c>
      <c r="Z25" s="12">
        <f>Z14*IF(Z5=1,Supuestos!$B$8,Supuestos!$B$7)/(1+Supuestos!$B$10)</f>
        <v/>
      </c>
    </row>
    <row r="26">
      <c r="A26" s="5" t="inlineStr">
        <is>
          <t>Plan Red</t>
        </is>
      </c>
      <c r="B26" s="2" t="n"/>
      <c r="C26" s="12">
        <f>C16*Supuestos!$B$5/(1+Supuestos!$B$10)</f>
        <v/>
      </c>
      <c r="D26" s="12">
        <f>D16*Supuestos!$B$5/(1+Supuestos!$B$10)</f>
        <v/>
      </c>
      <c r="E26" s="12">
        <f>E16*Supuestos!$B$5/(1+Supuestos!$B$10)</f>
        <v/>
      </c>
      <c r="F26" s="12">
        <f>F16*Supuestos!$B$5/(1+Supuestos!$B$10)</f>
        <v/>
      </c>
      <c r="G26" s="12">
        <f>G16*Supuestos!$B$5/(1+Supuestos!$B$10)</f>
        <v/>
      </c>
      <c r="H26" s="12">
        <f>H16*Supuestos!$B$5/(1+Supuestos!$B$10)</f>
        <v/>
      </c>
      <c r="I26" s="12">
        <f>I16*Supuestos!$B$5/(1+Supuestos!$B$10)</f>
        <v/>
      </c>
      <c r="J26" s="12">
        <f>J16*Supuestos!$B$5/(1+Supuestos!$B$10)</f>
        <v/>
      </c>
      <c r="K26" s="12">
        <f>K16*Supuestos!$B$5/(1+Supuestos!$B$10)</f>
        <v/>
      </c>
      <c r="L26" s="12">
        <f>L16*Supuestos!$B$5/(1+Supuestos!$B$10)</f>
        <v/>
      </c>
      <c r="M26" s="12">
        <f>M16*Supuestos!$B$5/(1+Supuestos!$B$10)</f>
        <v/>
      </c>
      <c r="N26" s="12">
        <f>N16*Supuestos!$B$5/(1+Supuestos!$B$10)</f>
        <v/>
      </c>
      <c r="O26" s="12">
        <f>O16*Supuestos!$B$5/(1+Supuestos!$B$10)</f>
        <v/>
      </c>
      <c r="P26" s="12">
        <f>P16*Supuestos!$B$5/(1+Supuestos!$B$10)</f>
        <v/>
      </c>
      <c r="Q26" s="12">
        <f>Q16*Supuestos!$B$5/(1+Supuestos!$B$10)</f>
        <v/>
      </c>
      <c r="R26" s="12">
        <f>R16*Supuestos!$B$5/(1+Supuestos!$B$10)</f>
        <v/>
      </c>
      <c r="S26" s="12">
        <f>S16*Supuestos!$B$5/(1+Supuestos!$B$10)</f>
        <v/>
      </c>
      <c r="T26" s="12">
        <f>T16*Supuestos!$B$5/(1+Supuestos!$B$10)</f>
        <v/>
      </c>
      <c r="U26" s="12">
        <f>U16*Supuestos!$B$5/(1+Supuestos!$B$10)</f>
        <v/>
      </c>
      <c r="V26" s="12">
        <f>V16*Supuestos!$B$5/(1+Supuestos!$B$10)</f>
        <v/>
      </c>
      <c r="W26" s="12">
        <f>W16*Supuestos!$B$5/(1+Supuestos!$B$10)</f>
        <v/>
      </c>
      <c r="X26" s="12">
        <f>X16*Supuestos!$B$5/(1+Supuestos!$B$10)</f>
        <v/>
      </c>
      <c r="Y26" s="12">
        <f>Y16*Supuestos!$B$5/(1+Supuestos!$B$10)</f>
        <v/>
      </c>
      <c r="Z26" s="12">
        <f>Z16*Supuestos!$B$5/(1+Supuestos!$B$10)</f>
        <v/>
      </c>
    </row>
    <row r="27">
      <c r="A27" s="5" t="inlineStr">
        <is>
          <t>Plan Clínico</t>
        </is>
      </c>
      <c r="B27" s="2" t="n"/>
      <c r="C27" s="12">
        <f>C17*Supuestos!$B$6/(1+Supuestos!$B$10)</f>
        <v/>
      </c>
      <c r="D27" s="12">
        <f>D17*Supuestos!$B$6/(1+Supuestos!$B$10)</f>
        <v/>
      </c>
      <c r="E27" s="12">
        <f>E17*Supuestos!$B$6/(1+Supuestos!$B$10)</f>
        <v/>
      </c>
      <c r="F27" s="12">
        <f>F17*Supuestos!$B$6/(1+Supuestos!$B$10)</f>
        <v/>
      </c>
      <c r="G27" s="12">
        <f>G17*Supuestos!$B$6/(1+Supuestos!$B$10)</f>
        <v/>
      </c>
      <c r="H27" s="12">
        <f>H17*Supuestos!$B$6/(1+Supuestos!$B$10)</f>
        <v/>
      </c>
      <c r="I27" s="12">
        <f>I17*Supuestos!$B$6/(1+Supuestos!$B$10)</f>
        <v/>
      </c>
      <c r="J27" s="12">
        <f>J17*Supuestos!$B$6/(1+Supuestos!$B$10)</f>
        <v/>
      </c>
      <c r="K27" s="12">
        <f>K17*Supuestos!$B$6/(1+Supuestos!$B$10)</f>
        <v/>
      </c>
      <c r="L27" s="12">
        <f>L17*Supuestos!$B$6/(1+Supuestos!$B$10)</f>
        <v/>
      </c>
      <c r="M27" s="12">
        <f>M17*Supuestos!$B$6/(1+Supuestos!$B$10)</f>
        <v/>
      </c>
      <c r="N27" s="12">
        <f>N17*Supuestos!$B$6/(1+Supuestos!$B$10)</f>
        <v/>
      </c>
      <c r="O27" s="12">
        <f>O17*Supuestos!$B$6/(1+Supuestos!$B$10)</f>
        <v/>
      </c>
      <c r="P27" s="12">
        <f>P17*Supuestos!$B$6/(1+Supuestos!$B$10)</f>
        <v/>
      </c>
      <c r="Q27" s="12">
        <f>Q17*Supuestos!$B$6/(1+Supuestos!$B$10)</f>
        <v/>
      </c>
      <c r="R27" s="12">
        <f>R17*Supuestos!$B$6/(1+Supuestos!$B$10)</f>
        <v/>
      </c>
      <c r="S27" s="12">
        <f>S17*Supuestos!$B$6/(1+Supuestos!$B$10)</f>
        <v/>
      </c>
      <c r="T27" s="12">
        <f>T17*Supuestos!$B$6/(1+Supuestos!$B$10)</f>
        <v/>
      </c>
      <c r="U27" s="12">
        <f>U17*Supuestos!$B$6/(1+Supuestos!$B$10)</f>
        <v/>
      </c>
      <c r="V27" s="12">
        <f>V17*Supuestos!$B$6/(1+Supuestos!$B$10)</f>
        <v/>
      </c>
      <c r="W27" s="12">
        <f>W17*Supuestos!$B$6/(1+Supuestos!$B$10)</f>
        <v/>
      </c>
      <c r="X27" s="12">
        <f>X17*Supuestos!$B$6/(1+Supuestos!$B$10)</f>
        <v/>
      </c>
      <c r="Y27" s="12">
        <f>Y17*Supuestos!$B$6/(1+Supuestos!$B$10)</f>
        <v/>
      </c>
      <c r="Z27" s="12">
        <f>Z17*Supuestos!$B$6/(1+Supuestos!$B$10)</f>
        <v/>
      </c>
    </row>
    <row r="28">
      <c r="A28" s="5" t="inlineStr">
        <is>
          <t>Canal Regene</t>
        </is>
      </c>
      <c r="B28" s="2" t="n"/>
      <c r="C28" s="12">
        <f>C19*Supuestos!$B$6*(1-Supuestos!$B$58)/(1+Supuestos!$B$10)</f>
        <v/>
      </c>
      <c r="D28" s="12">
        <f>D19*Supuestos!$B$6*(1-Supuestos!$B$58)/(1+Supuestos!$B$10)</f>
        <v/>
      </c>
      <c r="E28" s="12">
        <f>E19*Supuestos!$B$6*(1-Supuestos!$B$58)/(1+Supuestos!$B$10)</f>
        <v/>
      </c>
      <c r="F28" s="12">
        <f>F19*Supuestos!$B$6*(1-Supuestos!$B$58)/(1+Supuestos!$B$10)</f>
        <v/>
      </c>
      <c r="G28" s="12">
        <f>G19*Supuestos!$B$6*(1-Supuestos!$B$58)/(1+Supuestos!$B$10)</f>
        <v/>
      </c>
      <c r="H28" s="12">
        <f>H19*Supuestos!$B$6*(1-Supuestos!$B$58)/(1+Supuestos!$B$10)</f>
        <v/>
      </c>
      <c r="I28" s="12">
        <f>I19*Supuestos!$B$6*(1-Supuestos!$B$58)/(1+Supuestos!$B$10)</f>
        <v/>
      </c>
      <c r="J28" s="12">
        <f>J19*Supuestos!$B$6*(1-Supuestos!$B$58)/(1+Supuestos!$B$10)</f>
        <v/>
      </c>
      <c r="K28" s="12">
        <f>K19*Supuestos!$B$6*(1-Supuestos!$B$58)/(1+Supuestos!$B$10)</f>
        <v/>
      </c>
      <c r="L28" s="12">
        <f>L19*Supuestos!$B$6*(1-Supuestos!$B$58)/(1+Supuestos!$B$10)</f>
        <v/>
      </c>
      <c r="M28" s="12">
        <f>M19*Supuestos!$B$6*(1-Supuestos!$B$58)/(1+Supuestos!$B$10)</f>
        <v/>
      </c>
      <c r="N28" s="12">
        <f>N19*Supuestos!$B$6*(1-Supuestos!$B$58)/(1+Supuestos!$B$10)</f>
        <v/>
      </c>
      <c r="O28" s="12">
        <f>O19*Supuestos!$B$6*(1-Supuestos!$B$58)/(1+Supuestos!$B$10)</f>
        <v/>
      </c>
      <c r="P28" s="12">
        <f>P19*Supuestos!$B$6*(1-Supuestos!$B$58)/(1+Supuestos!$B$10)</f>
        <v/>
      </c>
      <c r="Q28" s="12">
        <f>Q19*Supuestos!$B$6*(1-Supuestos!$B$58)/(1+Supuestos!$B$10)</f>
        <v/>
      </c>
      <c r="R28" s="12">
        <f>R19*Supuestos!$B$6*(1-Supuestos!$B$58)/(1+Supuestos!$B$10)</f>
        <v/>
      </c>
      <c r="S28" s="12">
        <f>S19*Supuestos!$B$6*(1-Supuestos!$B$58)/(1+Supuestos!$B$10)</f>
        <v/>
      </c>
      <c r="T28" s="12">
        <f>T19*Supuestos!$B$6*(1-Supuestos!$B$58)/(1+Supuestos!$B$10)</f>
        <v/>
      </c>
      <c r="U28" s="12">
        <f>U19*Supuestos!$B$6*(1-Supuestos!$B$58)/(1+Supuestos!$B$10)</f>
        <v/>
      </c>
      <c r="V28" s="12">
        <f>V19*Supuestos!$B$6*(1-Supuestos!$B$58)/(1+Supuestos!$B$10)</f>
        <v/>
      </c>
      <c r="W28" s="12">
        <f>W19*Supuestos!$B$6*(1-Supuestos!$B$58)/(1+Supuestos!$B$10)</f>
        <v/>
      </c>
      <c r="X28" s="12">
        <f>X19*Supuestos!$B$6*(1-Supuestos!$B$58)/(1+Supuestos!$B$10)</f>
        <v/>
      </c>
      <c r="Y28" s="12">
        <f>Y19*Supuestos!$B$6*(1-Supuestos!$B$58)/(1+Supuestos!$B$10)</f>
        <v/>
      </c>
      <c r="Z28" s="12">
        <f>Z19*Supuestos!$B$6*(1-Supuestos!$B$58)/(1+Supuestos!$B$10)</f>
        <v/>
      </c>
    </row>
    <row r="29">
      <c r="A29" s="5" t="inlineStr">
        <is>
          <t>GB adicionales cobrados (médicos de alto consumo)</t>
        </is>
      </c>
      <c r="B29" s="2" t="n"/>
      <c r="C29" s="40">
        <f>C21*Supuestos!$B$25*Supuestos!$B$26</f>
        <v/>
      </c>
      <c r="D29" s="40">
        <f>D21*Supuestos!$B$25*Supuestos!$B$26</f>
        <v/>
      </c>
      <c r="E29" s="40">
        <f>E21*Supuestos!$B$25*Supuestos!$B$26</f>
        <v/>
      </c>
      <c r="F29" s="40">
        <f>F21*Supuestos!$B$25*Supuestos!$B$26</f>
        <v/>
      </c>
      <c r="G29" s="40">
        <f>G21*Supuestos!$B$25*Supuestos!$B$26</f>
        <v/>
      </c>
      <c r="H29" s="40">
        <f>H21*Supuestos!$B$25*Supuestos!$B$26</f>
        <v/>
      </c>
      <c r="I29" s="40">
        <f>I21*Supuestos!$B$25*Supuestos!$B$26</f>
        <v/>
      </c>
      <c r="J29" s="40">
        <f>J21*Supuestos!$B$25*Supuestos!$B$26</f>
        <v/>
      </c>
      <c r="K29" s="40">
        <f>K21*Supuestos!$B$25*Supuestos!$B$26</f>
        <v/>
      </c>
      <c r="L29" s="40">
        <f>L21*Supuestos!$B$25*Supuestos!$B$26</f>
        <v/>
      </c>
      <c r="M29" s="40">
        <f>M21*Supuestos!$B$25*Supuestos!$B$26</f>
        <v/>
      </c>
      <c r="N29" s="40">
        <f>N21*Supuestos!$B$25*Supuestos!$B$26</f>
        <v/>
      </c>
      <c r="O29" s="40">
        <f>O21*Supuestos!$B$25*Supuestos!$B$26</f>
        <v/>
      </c>
      <c r="P29" s="40">
        <f>P21*Supuestos!$B$25*Supuestos!$B$26</f>
        <v/>
      </c>
      <c r="Q29" s="40">
        <f>Q21*Supuestos!$B$25*Supuestos!$B$26</f>
        <v/>
      </c>
      <c r="R29" s="40">
        <f>R21*Supuestos!$B$25*Supuestos!$B$26</f>
        <v/>
      </c>
      <c r="S29" s="40">
        <f>S21*Supuestos!$B$25*Supuestos!$B$26</f>
        <v/>
      </c>
      <c r="T29" s="40">
        <f>T21*Supuestos!$B$25*Supuestos!$B$26</f>
        <v/>
      </c>
      <c r="U29" s="40">
        <f>U21*Supuestos!$B$25*Supuestos!$B$26</f>
        <v/>
      </c>
      <c r="V29" s="40">
        <f>V21*Supuestos!$B$25*Supuestos!$B$26</f>
        <v/>
      </c>
      <c r="W29" s="40">
        <f>W21*Supuestos!$B$25*Supuestos!$B$26</f>
        <v/>
      </c>
      <c r="X29" s="40">
        <f>X21*Supuestos!$B$25*Supuestos!$B$26</f>
        <v/>
      </c>
      <c r="Y29" s="40">
        <f>Y21*Supuestos!$B$25*Supuestos!$B$26</f>
        <v/>
      </c>
      <c r="Z29" s="40">
        <f>Z21*Supuestos!$B$25*Supuestos!$B$26</f>
        <v/>
      </c>
    </row>
    <row r="30">
      <c r="A30" s="5" t="inlineStr">
        <is>
          <t>GB guardados en total (se conservan 5 años, NOM-004)</t>
        </is>
      </c>
      <c r="B30" s="2" t="n"/>
      <c r="C30" s="40">
        <f>C21*Supuestos!$B$24+C29</f>
        <v/>
      </c>
      <c r="D30" s="40">
        <f>C30-C29+D21*Supuestos!$B$24+D29</f>
        <v/>
      </c>
      <c r="E30" s="40">
        <f>D30-D29+E21*Supuestos!$B$24+E29</f>
        <v/>
      </c>
      <c r="F30" s="40">
        <f>E30-E29+F21*Supuestos!$B$24+F29</f>
        <v/>
      </c>
      <c r="G30" s="40">
        <f>F30-F29+G21*Supuestos!$B$24+G29</f>
        <v/>
      </c>
      <c r="H30" s="40">
        <f>G30-G29+H21*Supuestos!$B$24+H29</f>
        <v/>
      </c>
      <c r="I30" s="40">
        <f>H30-H29+I21*Supuestos!$B$24+I29</f>
        <v/>
      </c>
      <c r="J30" s="40">
        <f>I30-I29+J21*Supuestos!$B$24+J29</f>
        <v/>
      </c>
      <c r="K30" s="40">
        <f>J30-J29+K21*Supuestos!$B$24+K29</f>
        <v/>
      </c>
      <c r="L30" s="40">
        <f>K30-K29+L21*Supuestos!$B$24+L29</f>
        <v/>
      </c>
      <c r="M30" s="40">
        <f>L30-L29+M21*Supuestos!$B$24+M29</f>
        <v/>
      </c>
      <c r="N30" s="40">
        <f>M30-M29+N21*Supuestos!$B$24+N29</f>
        <v/>
      </c>
      <c r="O30" s="40">
        <f>N30-N29+O21*Supuestos!$B$24+O29</f>
        <v/>
      </c>
      <c r="P30" s="40">
        <f>O30-O29+P21*Supuestos!$B$24+P29</f>
        <v/>
      </c>
      <c r="Q30" s="40">
        <f>P30-P29+Q21*Supuestos!$B$24+Q29</f>
        <v/>
      </c>
      <c r="R30" s="40">
        <f>Q30-Q29+R21*Supuestos!$B$24+R29</f>
        <v/>
      </c>
      <c r="S30" s="40">
        <f>R30-R29+S21*Supuestos!$B$24+S29</f>
        <v/>
      </c>
      <c r="T30" s="40">
        <f>S30-S29+T21*Supuestos!$B$24+T29</f>
        <v/>
      </c>
      <c r="U30" s="40">
        <f>T30-T29+U21*Supuestos!$B$24+U29</f>
        <v/>
      </c>
      <c r="V30" s="40">
        <f>U30-U29+V21*Supuestos!$B$24+V29</f>
        <v/>
      </c>
      <c r="W30" s="40">
        <f>V30-V29+W21*Supuestos!$B$24+W29</f>
        <v/>
      </c>
      <c r="X30" s="40">
        <f>W30-W29+X21*Supuestos!$B$24+X29</f>
        <v/>
      </c>
      <c r="Y30" s="40">
        <f>X30-X29+Y21*Supuestos!$B$24+Y29</f>
        <v/>
      </c>
      <c r="Z30" s="40">
        <f>Y30-Y29+Z21*Supuestos!$B$24+Z29</f>
        <v/>
      </c>
    </row>
    <row r="31">
      <c r="A31" s="5" t="inlineStr">
        <is>
          <t>Almacenamiento adicional</t>
        </is>
      </c>
      <c r="B31" s="2" t="n"/>
      <c r="C31" s="12">
        <f>C29*Supuestos!$B$23/(1+Supuestos!$B$10)</f>
        <v/>
      </c>
      <c r="D31" s="12">
        <f>D29*Supuestos!$B$23/(1+Supuestos!$B$10)</f>
        <v/>
      </c>
      <c r="E31" s="12">
        <f>E29*Supuestos!$B$23/(1+Supuestos!$B$10)</f>
        <v/>
      </c>
      <c r="F31" s="12">
        <f>F29*Supuestos!$B$23/(1+Supuestos!$B$10)</f>
        <v/>
      </c>
      <c r="G31" s="12">
        <f>G29*Supuestos!$B$23/(1+Supuestos!$B$10)</f>
        <v/>
      </c>
      <c r="H31" s="12">
        <f>H29*Supuestos!$B$23/(1+Supuestos!$B$10)</f>
        <v/>
      </c>
      <c r="I31" s="12">
        <f>I29*Supuestos!$B$23/(1+Supuestos!$B$10)</f>
        <v/>
      </c>
      <c r="J31" s="12">
        <f>J29*Supuestos!$B$23/(1+Supuestos!$B$10)</f>
        <v/>
      </c>
      <c r="K31" s="12">
        <f>K29*Supuestos!$B$23/(1+Supuestos!$B$10)</f>
        <v/>
      </c>
      <c r="L31" s="12">
        <f>L29*Supuestos!$B$23/(1+Supuestos!$B$10)</f>
        <v/>
      </c>
      <c r="M31" s="12">
        <f>M29*Supuestos!$B$23/(1+Supuestos!$B$10)</f>
        <v/>
      </c>
      <c r="N31" s="12">
        <f>N29*Supuestos!$B$23/(1+Supuestos!$B$10)</f>
        <v/>
      </c>
      <c r="O31" s="12">
        <f>O29*Supuestos!$B$23/(1+Supuestos!$B$10)</f>
        <v/>
      </c>
      <c r="P31" s="12">
        <f>P29*Supuestos!$B$23/(1+Supuestos!$B$10)</f>
        <v/>
      </c>
      <c r="Q31" s="12">
        <f>Q29*Supuestos!$B$23/(1+Supuestos!$B$10)</f>
        <v/>
      </c>
      <c r="R31" s="12">
        <f>R29*Supuestos!$B$23/(1+Supuestos!$B$10)</f>
        <v/>
      </c>
      <c r="S31" s="12">
        <f>S29*Supuestos!$B$23/(1+Supuestos!$B$10)</f>
        <v/>
      </c>
      <c r="T31" s="12">
        <f>T29*Supuestos!$B$23/(1+Supuestos!$B$10)</f>
        <v/>
      </c>
      <c r="U31" s="12">
        <f>U29*Supuestos!$B$23/(1+Supuestos!$B$10)</f>
        <v/>
      </c>
      <c r="V31" s="12">
        <f>V29*Supuestos!$B$23/(1+Supuestos!$B$10)</f>
        <v/>
      </c>
      <c r="W31" s="12">
        <f>W29*Supuestos!$B$23/(1+Supuestos!$B$10)</f>
        <v/>
      </c>
      <c r="X31" s="12">
        <f>X29*Supuestos!$B$23/(1+Supuestos!$B$10)</f>
        <v/>
      </c>
      <c r="Y31" s="12">
        <f>Y29*Supuestos!$B$23/(1+Supuestos!$B$10)</f>
        <v/>
      </c>
      <c r="Z31" s="12">
        <f>Z29*Supuestos!$B$23/(1+Supuestos!$B$10)</f>
        <v/>
      </c>
    </row>
    <row r="32">
      <c r="A32" s="41" t="inlineStr">
        <is>
          <t>Ingreso recurrente mensual (MRR)</t>
        </is>
      </c>
      <c r="B32" s="42" t="n"/>
      <c r="C32" s="43">
        <f>C25+C26+C27+C28+C31</f>
        <v/>
      </c>
      <c r="D32" s="43">
        <f>D25+D26+D27+D28+D31</f>
        <v/>
      </c>
      <c r="E32" s="43">
        <f>E25+E26+E27+E28+E31</f>
        <v/>
      </c>
      <c r="F32" s="43">
        <f>F25+F26+F27+F28+F31</f>
        <v/>
      </c>
      <c r="G32" s="43">
        <f>G25+G26+G27+G28+G31</f>
        <v/>
      </c>
      <c r="H32" s="43">
        <f>H25+H26+H27+H28+H31</f>
        <v/>
      </c>
      <c r="I32" s="43">
        <f>I25+I26+I27+I28+I31</f>
        <v/>
      </c>
      <c r="J32" s="43">
        <f>J25+J26+J27+J28+J31</f>
        <v/>
      </c>
      <c r="K32" s="43">
        <f>K25+K26+K27+K28+K31</f>
        <v/>
      </c>
      <c r="L32" s="43">
        <f>L25+L26+L27+L28+L31</f>
        <v/>
      </c>
      <c r="M32" s="43">
        <f>M25+M26+M27+M28+M31</f>
        <v/>
      </c>
      <c r="N32" s="43">
        <f>N25+N26+N27+N28+N31</f>
        <v/>
      </c>
      <c r="O32" s="43">
        <f>O25+O26+O27+O28+O31</f>
        <v/>
      </c>
      <c r="P32" s="43">
        <f>P25+P26+P27+P28+P31</f>
        <v/>
      </c>
      <c r="Q32" s="43">
        <f>Q25+Q26+Q27+Q28+Q31</f>
        <v/>
      </c>
      <c r="R32" s="43">
        <f>R25+R26+R27+R28+R31</f>
        <v/>
      </c>
      <c r="S32" s="43">
        <f>S25+S26+S27+S28+S31</f>
        <v/>
      </c>
      <c r="T32" s="43">
        <f>T25+T26+T27+T28+T31</f>
        <v/>
      </c>
      <c r="U32" s="43">
        <f>U25+U26+U27+U28+U31</f>
        <v/>
      </c>
      <c r="V32" s="43">
        <f>V25+V26+V27+V28+V31</f>
        <v/>
      </c>
      <c r="W32" s="43">
        <f>W25+W26+W27+W28+W31</f>
        <v/>
      </c>
      <c r="X32" s="43">
        <f>X25+X26+X27+X28+X31</f>
        <v/>
      </c>
      <c r="Y32" s="43">
        <f>Y25+Y26+Y27+Y28+Y31</f>
        <v/>
      </c>
      <c r="Z32" s="43">
        <f>Z25+Z26+Z27+Z28+Z31</f>
        <v/>
      </c>
    </row>
    <row r="33">
      <c r="A33" s="5" t="inlineStr">
        <is>
          <t>Migraciones vendidas</t>
        </is>
      </c>
      <c r="B33" s="2" t="n"/>
      <c r="C33" s="40">
        <f>(C12+C15+C18)*Supuestos!$D$68</f>
        <v/>
      </c>
      <c r="D33" s="40">
        <f>(D12+D15+D18)*Supuestos!$D$68</f>
        <v/>
      </c>
      <c r="E33" s="40">
        <f>(E12+E15+E18)*Supuestos!$D$68</f>
        <v/>
      </c>
      <c r="F33" s="40">
        <f>(F12+F15+F18)*Supuestos!$D$68</f>
        <v/>
      </c>
      <c r="G33" s="40">
        <f>(G12+G15+G18)*Supuestos!$D$68</f>
        <v/>
      </c>
      <c r="H33" s="40">
        <f>(H12+H15+H18)*Supuestos!$D$68</f>
        <v/>
      </c>
      <c r="I33" s="40">
        <f>(I12+I15+I18)*Supuestos!$D$68</f>
        <v/>
      </c>
      <c r="J33" s="40">
        <f>(J12+J15+J18)*Supuestos!$D$68</f>
        <v/>
      </c>
      <c r="K33" s="40">
        <f>(K12+K15+K18)*Supuestos!$D$68</f>
        <v/>
      </c>
      <c r="L33" s="40">
        <f>(L12+L15+L18)*Supuestos!$D$68</f>
        <v/>
      </c>
      <c r="M33" s="40">
        <f>(M12+M15+M18)*Supuestos!$D$68</f>
        <v/>
      </c>
      <c r="N33" s="40">
        <f>(N12+N15+N18)*Supuestos!$D$68</f>
        <v/>
      </c>
      <c r="O33" s="40">
        <f>(O12+O15+O18)*Supuestos!$D$68</f>
        <v/>
      </c>
      <c r="P33" s="40">
        <f>(P12+P15+P18)*Supuestos!$D$68</f>
        <v/>
      </c>
      <c r="Q33" s="40">
        <f>(Q12+Q15+Q18)*Supuestos!$D$68</f>
        <v/>
      </c>
      <c r="R33" s="40">
        <f>(R12+R15+R18)*Supuestos!$D$68</f>
        <v/>
      </c>
      <c r="S33" s="40">
        <f>(S12+S15+S18)*Supuestos!$D$68</f>
        <v/>
      </c>
      <c r="T33" s="40">
        <f>(T12+T15+T18)*Supuestos!$D$68</f>
        <v/>
      </c>
      <c r="U33" s="40">
        <f>(U12+U15+U18)*Supuestos!$D$68</f>
        <v/>
      </c>
      <c r="V33" s="40">
        <f>(V12+V15+V18)*Supuestos!$D$68</f>
        <v/>
      </c>
      <c r="W33" s="40">
        <f>(W12+W15+W18)*Supuestos!$D$68</f>
        <v/>
      </c>
      <c r="X33" s="40">
        <f>(X12+X15+X18)*Supuestos!$D$68</f>
        <v/>
      </c>
      <c r="Y33" s="40">
        <f>(Y12+Y15+Y18)*Supuestos!$D$68</f>
        <v/>
      </c>
      <c r="Z33" s="40">
        <f>(Z12+Z15+Z18)*Supuestos!$D$68</f>
        <v/>
      </c>
    </row>
    <row r="34">
      <c r="A34" s="5" t="inlineStr">
        <is>
          <t>Ingreso por migraciones</t>
        </is>
      </c>
      <c r="B34" s="2" t="n"/>
      <c r="C34" s="12">
        <f>C33*Supuestos!$B$46*Supuestos!$B$11/(1+Supuestos!$B$10)</f>
        <v/>
      </c>
      <c r="D34" s="12">
        <f>D33*Supuestos!$B$46*Supuestos!$B$11/(1+Supuestos!$B$10)</f>
        <v/>
      </c>
      <c r="E34" s="12">
        <f>E33*Supuestos!$B$46*Supuestos!$B$11/(1+Supuestos!$B$10)</f>
        <v/>
      </c>
      <c r="F34" s="12">
        <f>F33*Supuestos!$B$46*Supuestos!$B$11/(1+Supuestos!$B$10)</f>
        <v/>
      </c>
      <c r="G34" s="12">
        <f>G33*Supuestos!$B$46*Supuestos!$B$11/(1+Supuestos!$B$10)</f>
        <v/>
      </c>
      <c r="H34" s="12">
        <f>H33*Supuestos!$B$46*Supuestos!$B$11/(1+Supuestos!$B$10)</f>
        <v/>
      </c>
      <c r="I34" s="12">
        <f>I33*Supuestos!$B$46*Supuestos!$B$11/(1+Supuestos!$B$10)</f>
        <v/>
      </c>
      <c r="J34" s="12">
        <f>J33*Supuestos!$B$46*Supuestos!$B$11/(1+Supuestos!$B$10)</f>
        <v/>
      </c>
      <c r="K34" s="12">
        <f>K33*Supuestos!$B$46*Supuestos!$B$11/(1+Supuestos!$B$10)</f>
        <v/>
      </c>
      <c r="L34" s="12">
        <f>L33*Supuestos!$B$46*Supuestos!$B$11/(1+Supuestos!$B$10)</f>
        <v/>
      </c>
      <c r="M34" s="12">
        <f>M33*Supuestos!$B$46*Supuestos!$B$11/(1+Supuestos!$B$10)</f>
        <v/>
      </c>
      <c r="N34" s="12">
        <f>N33*Supuestos!$B$46*Supuestos!$B$11/(1+Supuestos!$B$10)</f>
        <v/>
      </c>
      <c r="O34" s="12">
        <f>O33*Supuestos!$B$46*Supuestos!$B$11/(1+Supuestos!$B$10)</f>
        <v/>
      </c>
      <c r="P34" s="12">
        <f>P33*Supuestos!$B$46*Supuestos!$B$11/(1+Supuestos!$B$10)</f>
        <v/>
      </c>
      <c r="Q34" s="12">
        <f>Q33*Supuestos!$B$46*Supuestos!$B$11/(1+Supuestos!$B$10)</f>
        <v/>
      </c>
      <c r="R34" s="12">
        <f>R33*Supuestos!$B$46*Supuestos!$B$11/(1+Supuestos!$B$10)</f>
        <v/>
      </c>
      <c r="S34" s="12">
        <f>S33*Supuestos!$B$46*Supuestos!$B$11/(1+Supuestos!$B$10)</f>
        <v/>
      </c>
      <c r="T34" s="12">
        <f>T33*Supuestos!$B$46*Supuestos!$B$11/(1+Supuestos!$B$10)</f>
        <v/>
      </c>
      <c r="U34" s="12">
        <f>U33*Supuestos!$B$46*Supuestos!$B$11/(1+Supuestos!$B$10)</f>
        <v/>
      </c>
      <c r="V34" s="12">
        <f>V33*Supuestos!$B$46*Supuestos!$B$11/(1+Supuestos!$B$10)</f>
        <v/>
      </c>
      <c r="W34" s="12">
        <f>W33*Supuestos!$B$46*Supuestos!$B$11/(1+Supuestos!$B$10)</f>
        <v/>
      </c>
      <c r="X34" s="12">
        <f>X33*Supuestos!$B$46*Supuestos!$B$11/(1+Supuestos!$B$10)</f>
        <v/>
      </c>
      <c r="Y34" s="12">
        <f>Y33*Supuestos!$B$46*Supuestos!$B$11/(1+Supuestos!$B$10)</f>
        <v/>
      </c>
      <c r="Z34" s="12">
        <f>Z33*Supuestos!$B$46*Supuestos!$B$11/(1+Supuestos!$B$10)</f>
        <v/>
      </c>
    </row>
    <row r="35">
      <c r="A35" s="41" t="inlineStr">
        <is>
          <t>INGRESO TOTAL</t>
        </is>
      </c>
      <c r="B35" s="42" t="n"/>
      <c r="C35" s="43">
        <f>C32+C34</f>
        <v/>
      </c>
      <c r="D35" s="43">
        <f>D32+D34</f>
        <v/>
      </c>
      <c r="E35" s="43">
        <f>E32+E34</f>
        <v/>
      </c>
      <c r="F35" s="43">
        <f>F32+F34</f>
        <v/>
      </c>
      <c r="G35" s="43">
        <f>G32+G34</f>
        <v/>
      </c>
      <c r="H35" s="43">
        <f>H32+H34</f>
        <v/>
      </c>
      <c r="I35" s="43">
        <f>I32+I34</f>
        <v/>
      </c>
      <c r="J35" s="43">
        <f>J32+J34</f>
        <v/>
      </c>
      <c r="K35" s="43">
        <f>K32+K34</f>
        <v/>
      </c>
      <c r="L35" s="43">
        <f>L32+L34</f>
        <v/>
      </c>
      <c r="M35" s="43">
        <f>M32+M34</f>
        <v/>
      </c>
      <c r="N35" s="43">
        <f>N32+N34</f>
        <v/>
      </c>
      <c r="O35" s="43">
        <f>O32+O34</f>
        <v/>
      </c>
      <c r="P35" s="43">
        <f>P32+P34</f>
        <v/>
      </c>
      <c r="Q35" s="43">
        <f>Q32+Q34</f>
        <v/>
      </c>
      <c r="R35" s="43">
        <f>R32+R34</f>
        <v/>
      </c>
      <c r="S35" s="43">
        <f>S32+S34</f>
        <v/>
      </c>
      <c r="T35" s="43">
        <f>T32+T34</f>
        <v/>
      </c>
      <c r="U35" s="43">
        <f>U32+U34</f>
        <v/>
      </c>
      <c r="V35" s="43">
        <f>V32+V34</f>
        <v/>
      </c>
      <c r="W35" s="43">
        <f>W32+W34</f>
        <v/>
      </c>
      <c r="X35" s="43">
        <f>X32+X34</f>
        <v/>
      </c>
      <c r="Y35" s="43">
        <f>Y32+Y34</f>
        <v/>
      </c>
      <c r="Z35" s="43">
        <f>Z32+Z34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7" t="inlineStr">
        <is>
          <t>COSTOS VARIABLES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</row>
    <row r="38">
      <c r="A38" s="13" t="inlineStr">
        <is>
          <t>IA (NOVA)</t>
        </is>
      </c>
      <c r="B38" s="2" t="n"/>
      <c r="C38" s="12">
        <f>(C22*Supuestos!$B$17+C21*Supuestos!$B$18)*Supuestos!$B$14</f>
        <v/>
      </c>
      <c r="D38" s="12">
        <f>(D22*Supuestos!$B$17+D21*Supuestos!$B$18)*Supuestos!$B$14</f>
        <v/>
      </c>
      <c r="E38" s="12">
        <f>(E22*Supuestos!$B$17+E21*Supuestos!$B$18)*Supuestos!$B$14</f>
        <v/>
      </c>
      <c r="F38" s="12">
        <f>(F22*Supuestos!$B$17+F21*Supuestos!$B$18)*Supuestos!$B$14</f>
        <v/>
      </c>
      <c r="G38" s="12">
        <f>(G22*Supuestos!$B$17+G21*Supuestos!$B$18)*Supuestos!$B$14</f>
        <v/>
      </c>
      <c r="H38" s="12">
        <f>(H22*Supuestos!$B$17+H21*Supuestos!$B$18)*Supuestos!$B$14</f>
        <v/>
      </c>
      <c r="I38" s="12">
        <f>(I22*Supuestos!$B$17+I21*Supuestos!$B$18)*Supuestos!$B$14</f>
        <v/>
      </c>
      <c r="J38" s="12">
        <f>(J22*Supuestos!$B$17+J21*Supuestos!$B$18)*Supuestos!$B$14</f>
        <v/>
      </c>
      <c r="K38" s="12">
        <f>(K22*Supuestos!$B$17+K21*Supuestos!$B$18)*Supuestos!$B$14</f>
        <v/>
      </c>
      <c r="L38" s="12">
        <f>(L22*Supuestos!$B$17+L21*Supuestos!$B$18)*Supuestos!$B$14</f>
        <v/>
      </c>
      <c r="M38" s="12">
        <f>(M22*Supuestos!$B$17+M21*Supuestos!$B$18)*Supuestos!$B$14</f>
        <v/>
      </c>
      <c r="N38" s="12">
        <f>(N22*Supuestos!$B$17+N21*Supuestos!$B$18)*Supuestos!$B$14</f>
        <v/>
      </c>
      <c r="O38" s="12">
        <f>(O22*Supuestos!$B$17+O21*Supuestos!$B$18)*Supuestos!$B$14</f>
        <v/>
      </c>
      <c r="P38" s="12">
        <f>(P22*Supuestos!$B$17+P21*Supuestos!$B$18)*Supuestos!$B$14</f>
        <v/>
      </c>
      <c r="Q38" s="12">
        <f>(Q22*Supuestos!$B$17+Q21*Supuestos!$B$18)*Supuestos!$B$14</f>
        <v/>
      </c>
      <c r="R38" s="12">
        <f>(R22*Supuestos!$B$17+R21*Supuestos!$B$18)*Supuestos!$B$14</f>
        <v/>
      </c>
      <c r="S38" s="12">
        <f>(S22*Supuestos!$B$17+S21*Supuestos!$B$18)*Supuestos!$B$14</f>
        <v/>
      </c>
      <c r="T38" s="12">
        <f>(T22*Supuestos!$B$17+T21*Supuestos!$B$18)*Supuestos!$B$14</f>
        <v/>
      </c>
      <c r="U38" s="12">
        <f>(U22*Supuestos!$B$17+U21*Supuestos!$B$18)*Supuestos!$B$14</f>
        <v/>
      </c>
      <c r="V38" s="12">
        <f>(V22*Supuestos!$B$17+V21*Supuestos!$B$18)*Supuestos!$B$14</f>
        <v/>
      </c>
      <c r="W38" s="12">
        <f>(W22*Supuestos!$B$17+W21*Supuestos!$B$18)*Supuestos!$B$14</f>
        <v/>
      </c>
      <c r="X38" s="12">
        <f>(X22*Supuestos!$B$17+X21*Supuestos!$B$18)*Supuestos!$B$14</f>
        <v/>
      </c>
      <c r="Y38" s="12">
        <f>(Y22*Supuestos!$B$17+Y21*Supuestos!$B$18)*Supuestos!$B$14</f>
        <v/>
      </c>
      <c r="Z38" s="12">
        <f>(Z22*Supuestos!$B$17+Z21*Supuestos!$B$18)*Supuestos!$B$14</f>
        <v/>
      </c>
    </row>
    <row r="39">
      <c r="A39" s="5" t="inlineStr">
        <is>
          <t>Almacenamiento (2 copias)</t>
        </is>
      </c>
      <c r="B39" s="2" t="n"/>
      <c r="C39" s="12">
        <f>C30*(Supuestos!$B$27+Supuestos!$B$28)*Supuestos!$B$14</f>
        <v/>
      </c>
      <c r="D39" s="12">
        <f>D30*(Supuestos!$B$27+Supuestos!$B$28)*Supuestos!$B$14</f>
        <v/>
      </c>
      <c r="E39" s="12">
        <f>E30*(Supuestos!$B$27+Supuestos!$B$28)*Supuestos!$B$14</f>
        <v/>
      </c>
      <c r="F39" s="12">
        <f>F30*(Supuestos!$B$27+Supuestos!$B$28)*Supuestos!$B$14</f>
        <v/>
      </c>
      <c r="G39" s="12">
        <f>G30*(Supuestos!$B$27+Supuestos!$B$28)*Supuestos!$B$14</f>
        <v/>
      </c>
      <c r="H39" s="12">
        <f>H30*(Supuestos!$B$27+Supuestos!$B$28)*Supuestos!$B$14</f>
        <v/>
      </c>
      <c r="I39" s="12">
        <f>I30*(Supuestos!$B$27+Supuestos!$B$28)*Supuestos!$B$14</f>
        <v/>
      </c>
      <c r="J39" s="12">
        <f>J30*(Supuestos!$B$27+Supuestos!$B$28)*Supuestos!$B$14</f>
        <v/>
      </c>
      <c r="K39" s="12">
        <f>K30*(Supuestos!$B$27+Supuestos!$B$28)*Supuestos!$B$14</f>
        <v/>
      </c>
      <c r="L39" s="12">
        <f>L30*(Supuestos!$B$27+Supuestos!$B$28)*Supuestos!$B$14</f>
        <v/>
      </c>
      <c r="M39" s="12">
        <f>M30*(Supuestos!$B$27+Supuestos!$B$28)*Supuestos!$B$14</f>
        <v/>
      </c>
      <c r="N39" s="12">
        <f>N30*(Supuestos!$B$27+Supuestos!$B$28)*Supuestos!$B$14</f>
        <v/>
      </c>
      <c r="O39" s="12">
        <f>O30*(Supuestos!$B$27+Supuestos!$B$28)*Supuestos!$B$14</f>
        <v/>
      </c>
      <c r="P39" s="12">
        <f>P30*(Supuestos!$B$27+Supuestos!$B$28)*Supuestos!$B$14</f>
        <v/>
      </c>
      <c r="Q39" s="12">
        <f>Q30*(Supuestos!$B$27+Supuestos!$B$28)*Supuestos!$B$14</f>
        <v/>
      </c>
      <c r="R39" s="12">
        <f>R30*(Supuestos!$B$27+Supuestos!$B$28)*Supuestos!$B$14</f>
        <v/>
      </c>
      <c r="S39" s="12">
        <f>S30*(Supuestos!$B$27+Supuestos!$B$28)*Supuestos!$B$14</f>
        <v/>
      </c>
      <c r="T39" s="12">
        <f>T30*(Supuestos!$B$27+Supuestos!$B$28)*Supuestos!$B$14</f>
        <v/>
      </c>
      <c r="U39" s="12">
        <f>U30*(Supuestos!$B$27+Supuestos!$B$28)*Supuestos!$B$14</f>
        <v/>
      </c>
      <c r="V39" s="12">
        <f>V30*(Supuestos!$B$27+Supuestos!$B$28)*Supuestos!$B$14</f>
        <v/>
      </c>
      <c r="W39" s="12">
        <f>W30*(Supuestos!$B$27+Supuestos!$B$28)*Supuestos!$B$14</f>
        <v/>
      </c>
      <c r="X39" s="12">
        <f>X30*(Supuestos!$B$27+Supuestos!$B$28)*Supuestos!$B$14</f>
        <v/>
      </c>
      <c r="Y39" s="12">
        <f>Y30*(Supuestos!$B$27+Supuestos!$B$28)*Supuestos!$B$14</f>
        <v/>
      </c>
      <c r="Z39" s="12">
        <f>Z30*(Supuestos!$B$27+Supuestos!$B$28)*Supuestos!$B$14</f>
        <v/>
      </c>
    </row>
    <row r="40">
      <c r="A40" s="5" t="inlineStr">
        <is>
          <t>Comisión de cobro (con IVA de la comisión)</t>
        </is>
      </c>
      <c r="B40" s="2" t="n"/>
      <c r="C40" s="12">
        <f>((C20+C33)*Supuestos!$B$32+C35*(1+Supuestos!$B$10)*Supuestos!$B$31)*(1+Supuestos!$B$10)</f>
        <v/>
      </c>
      <c r="D40" s="12">
        <f>((D20+D33)*Supuestos!$B$32+D35*(1+Supuestos!$B$10)*Supuestos!$B$31)*(1+Supuestos!$B$10)</f>
        <v/>
      </c>
      <c r="E40" s="12">
        <f>((E20+E33)*Supuestos!$B$32+E35*(1+Supuestos!$B$10)*Supuestos!$B$31)*(1+Supuestos!$B$10)</f>
        <v/>
      </c>
      <c r="F40" s="12">
        <f>((F20+F33)*Supuestos!$B$32+F35*(1+Supuestos!$B$10)*Supuestos!$B$31)*(1+Supuestos!$B$10)</f>
        <v/>
      </c>
      <c r="G40" s="12">
        <f>((G20+G33)*Supuestos!$B$32+G35*(1+Supuestos!$B$10)*Supuestos!$B$31)*(1+Supuestos!$B$10)</f>
        <v/>
      </c>
      <c r="H40" s="12">
        <f>((H20+H33)*Supuestos!$B$32+H35*(1+Supuestos!$B$10)*Supuestos!$B$31)*(1+Supuestos!$B$10)</f>
        <v/>
      </c>
      <c r="I40" s="12">
        <f>((I20+I33)*Supuestos!$B$32+I35*(1+Supuestos!$B$10)*Supuestos!$B$31)*(1+Supuestos!$B$10)</f>
        <v/>
      </c>
      <c r="J40" s="12">
        <f>((J20+J33)*Supuestos!$B$32+J35*(1+Supuestos!$B$10)*Supuestos!$B$31)*(1+Supuestos!$B$10)</f>
        <v/>
      </c>
      <c r="K40" s="12">
        <f>((K20+K33)*Supuestos!$B$32+K35*(1+Supuestos!$B$10)*Supuestos!$B$31)*(1+Supuestos!$B$10)</f>
        <v/>
      </c>
      <c r="L40" s="12">
        <f>((L20+L33)*Supuestos!$B$32+L35*(1+Supuestos!$B$10)*Supuestos!$B$31)*(1+Supuestos!$B$10)</f>
        <v/>
      </c>
      <c r="M40" s="12">
        <f>((M20+M33)*Supuestos!$B$32+M35*(1+Supuestos!$B$10)*Supuestos!$B$31)*(1+Supuestos!$B$10)</f>
        <v/>
      </c>
      <c r="N40" s="12">
        <f>((N20+N33)*Supuestos!$B$32+N35*(1+Supuestos!$B$10)*Supuestos!$B$31)*(1+Supuestos!$B$10)</f>
        <v/>
      </c>
      <c r="O40" s="12">
        <f>((O20+O33)*Supuestos!$B$32+O35*(1+Supuestos!$B$10)*Supuestos!$B$31)*(1+Supuestos!$B$10)</f>
        <v/>
      </c>
      <c r="P40" s="12">
        <f>((P20+P33)*Supuestos!$B$32+P35*(1+Supuestos!$B$10)*Supuestos!$B$31)*(1+Supuestos!$B$10)</f>
        <v/>
      </c>
      <c r="Q40" s="12">
        <f>((Q20+Q33)*Supuestos!$B$32+Q35*(1+Supuestos!$B$10)*Supuestos!$B$31)*(1+Supuestos!$B$10)</f>
        <v/>
      </c>
      <c r="R40" s="12">
        <f>((R20+R33)*Supuestos!$B$32+R35*(1+Supuestos!$B$10)*Supuestos!$B$31)*(1+Supuestos!$B$10)</f>
        <v/>
      </c>
      <c r="S40" s="12">
        <f>((S20+S33)*Supuestos!$B$32+S35*(1+Supuestos!$B$10)*Supuestos!$B$31)*(1+Supuestos!$B$10)</f>
        <v/>
      </c>
      <c r="T40" s="12">
        <f>((T20+T33)*Supuestos!$B$32+T35*(1+Supuestos!$B$10)*Supuestos!$B$31)*(1+Supuestos!$B$10)</f>
        <v/>
      </c>
      <c r="U40" s="12">
        <f>((U20+U33)*Supuestos!$B$32+U35*(1+Supuestos!$B$10)*Supuestos!$B$31)*(1+Supuestos!$B$10)</f>
        <v/>
      </c>
      <c r="V40" s="12">
        <f>((V20+V33)*Supuestos!$B$32+V35*(1+Supuestos!$B$10)*Supuestos!$B$31)*(1+Supuestos!$B$10)</f>
        <v/>
      </c>
      <c r="W40" s="12">
        <f>((W20+W33)*Supuestos!$B$32+W35*(1+Supuestos!$B$10)*Supuestos!$B$31)*(1+Supuestos!$B$10)</f>
        <v/>
      </c>
      <c r="X40" s="12">
        <f>((X20+X33)*Supuestos!$B$32+X35*(1+Supuestos!$B$10)*Supuestos!$B$31)*(1+Supuestos!$B$10)</f>
        <v/>
      </c>
      <c r="Y40" s="12">
        <f>((Y20+Y33)*Supuestos!$B$32+Y35*(1+Supuestos!$B$10)*Supuestos!$B$31)*(1+Supuestos!$B$10)</f>
        <v/>
      </c>
      <c r="Z40" s="12">
        <f>((Z20+Z33)*Supuestos!$B$32+Z35*(1+Supuestos!$B$10)*Supuestos!$B$31)*(1+Supuestos!$B$10)</f>
        <v/>
      </c>
    </row>
    <row r="41">
      <c r="A41" s="5" t="inlineStr">
        <is>
          <t>Facturas CFDI</t>
        </is>
      </c>
      <c r="B41" s="2" t="n"/>
      <c r="C41" s="12">
        <f>(C20+C33)*Supuestos!$B$33</f>
        <v/>
      </c>
      <c r="D41" s="12">
        <f>(D20+D33)*Supuestos!$B$33</f>
        <v/>
      </c>
      <c r="E41" s="12">
        <f>(E20+E33)*Supuestos!$B$33</f>
        <v/>
      </c>
      <c r="F41" s="12">
        <f>(F20+F33)*Supuestos!$B$33</f>
        <v/>
      </c>
      <c r="G41" s="12">
        <f>(G20+G33)*Supuestos!$B$33</f>
        <v/>
      </c>
      <c r="H41" s="12">
        <f>(H20+H33)*Supuestos!$B$33</f>
        <v/>
      </c>
      <c r="I41" s="12">
        <f>(I20+I33)*Supuestos!$B$33</f>
        <v/>
      </c>
      <c r="J41" s="12">
        <f>(J20+J33)*Supuestos!$B$33</f>
        <v/>
      </c>
      <c r="K41" s="12">
        <f>(K20+K33)*Supuestos!$B$33</f>
        <v/>
      </c>
      <c r="L41" s="12">
        <f>(L20+L33)*Supuestos!$B$33</f>
        <v/>
      </c>
      <c r="M41" s="12">
        <f>(M20+M33)*Supuestos!$B$33</f>
        <v/>
      </c>
      <c r="N41" s="12">
        <f>(N20+N33)*Supuestos!$B$33</f>
        <v/>
      </c>
      <c r="O41" s="12">
        <f>(O20+O33)*Supuestos!$B$33</f>
        <v/>
      </c>
      <c r="P41" s="12">
        <f>(P20+P33)*Supuestos!$B$33</f>
        <v/>
      </c>
      <c r="Q41" s="12">
        <f>(Q20+Q33)*Supuestos!$B$33</f>
        <v/>
      </c>
      <c r="R41" s="12">
        <f>(R20+R33)*Supuestos!$B$33</f>
        <v/>
      </c>
      <c r="S41" s="12">
        <f>(S20+S33)*Supuestos!$B$33</f>
        <v/>
      </c>
      <c r="T41" s="12">
        <f>(T20+T33)*Supuestos!$B$33</f>
        <v/>
      </c>
      <c r="U41" s="12">
        <f>(U20+U33)*Supuestos!$B$33</f>
        <v/>
      </c>
      <c r="V41" s="12">
        <f>(V20+V33)*Supuestos!$B$33</f>
        <v/>
      </c>
      <c r="W41" s="12">
        <f>(W20+W33)*Supuestos!$B$33</f>
        <v/>
      </c>
      <c r="X41" s="12">
        <f>(X20+X33)*Supuestos!$B$33</f>
        <v/>
      </c>
      <c r="Y41" s="12">
        <f>(Y20+Y33)*Supuestos!$B$33</f>
        <v/>
      </c>
      <c r="Z41" s="12">
        <f>(Z20+Z33)*Supuestos!$B$33</f>
        <v/>
      </c>
    </row>
    <row r="42">
      <c r="A42" s="5" t="inlineStr">
        <is>
          <t>Soporte</t>
        </is>
      </c>
      <c r="B42" s="2" t="n"/>
      <c r="C42" s="12">
        <f>C20*Supuestos!$B$37*Supuestos!$B$38</f>
        <v/>
      </c>
      <c r="D42" s="12">
        <f>D20*Supuestos!$B$37*Supuestos!$B$38</f>
        <v/>
      </c>
      <c r="E42" s="12">
        <f>E20*Supuestos!$B$37*Supuestos!$B$38</f>
        <v/>
      </c>
      <c r="F42" s="12">
        <f>F20*Supuestos!$B$37*Supuestos!$B$38</f>
        <v/>
      </c>
      <c r="G42" s="12">
        <f>G20*Supuestos!$B$37*Supuestos!$B$38</f>
        <v/>
      </c>
      <c r="H42" s="12">
        <f>H20*Supuestos!$B$37*Supuestos!$B$38</f>
        <v/>
      </c>
      <c r="I42" s="12">
        <f>I20*Supuestos!$B$37*Supuestos!$B$38</f>
        <v/>
      </c>
      <c r="J42" s="12">
        <f>J20*Supuestos!$B$37*Supuestos!$B$38</f>
        <v/>
      </c>
      <c r="K42" s="12">
        <f>K20*Supuestos!$B$37*Supuestos!$B$38</f>
        <v/>
      </c>
      <c r="L42" s="12">
        <f>L20*Supuestos!$B$37*Supuestos!$B$38</f>
        <v/>
      </c>
      <c r="M42" s="12">
        <f>M20*Supuestos!$B$37*Supuestos!$B$38</f>
        <v/>
      </c>
      <c r="N42" s="12">
        <f>N20*Supuestos!$B$37*Supuestos!$B$38</f>
        <v/>
      </c>
      <c r="O42" s="12">
        <f>O20*Supuestos!$B$37*Supuestos!$B$38</f>
        <v/>
      </c>
      <c r="P42" s="12">
        <f>P20*Supuestos!$B$37*Supuestos!$B$38</f>
        <v/>
      </c>
      <c r="Q42" s="12">
        <f>Q20*Supuestos!$B$37*Supuestos!$B$38</f>
        <v/>
      </c>
      <c r="R42" s="12">
        <f>R20*Supuestos!$B$37*Supuestos!$B$38</f>
        <v/>
      </c>
      <c r="S42" s="12">
        <f>S20*Supuestos!$B$37*Supuestos!$B$38</f>
        <v/>
      </c>
      <c r="T42" s="12">
        <f>T20*Supuestos!$B$37*Supuestos!$B$38</f>
        <v/>
      </c>
      <c r="U42" s="12">
        <f>U20*Supuestos!$B$37*Supuestos!$B$38</f>
        <v/>
      </c>
      <c r="V42" s="12">
        <f>V20*Supuestos!$B$37*Supuestos!$B$38</f>
        <v/>
      </c>
      <c r="W42" s="12">
        <f>W20*Supuestos!$B$37*Supuestos!$B$38</f>
        <v/>
      </c>
      <c r="X42" s="12">
        <f>X20*Supuestos!$B$37*Supuestos!$B$38</f>
        <v/>
      </c>
      <c r="Y42" s="12">
        <f>Y20*Supuestos!$B$37*Supuestos!$B$38</f>
        <v/>
      </c>
      <c r="Z42" s="12">
        <f>Z20*Supuestos!$B$37*Supuestos!$B$38</f>
        <v/>
      </c>
    </row>
    <row r="43">
      <c r="A43" s="5" t="inlineStr">
        <is>
          <t>IA de las migraciones</t>
        </is>
      </c>
      <c r="B43" s="2" t="n"/>
      <c r="C43" s="12">
        <f>C33*Supuestos!$B$46*Supuestos!$B$47*Supuestos!$B$48*Supuestos!$B$14</f>
        <v/>
      </c>
      <c r="D43" s="12">
        <f>D33*Supuestos!$B$46*Supuestos!$B$47*Supuestos!$B$48*Supuestos!$B$14</f>
        <v/>
      </c>
      <c r="E43" s="12">
        <f>E33*Supuestos!$B$46*Supuestos!$B$47*Supuestos!$B$48*Supuestos!$B$14</f>
        <v/>
      </c>
      <c r="F43" s="12">
        <f>F33*Supuestos!$B$46*Supuestos!$B$47*Supuestos!$B$48*Supuestos!$B$14</f>
        <v/>
      </c>
      <c r="G43" s="12">
        <f>G33*Supuestos!$B$46*Supuestos!$B$47*Supuestos!$B$48*Supuestos!$B$14</f>
        <v/>
      </c>
      <c r="H43" s="12">
        <f>H33*Supuestos!$B$46*Supuestos!$B$47*Supuestos!$B$48*Supuestos!$B$14</f>
        <v/>
      </c>
      <c r="I43" s="12">
        <f>I33*Supuestos!$B$46*Supuestos!$B$47*Supuestos!$B$48*Supuestos!$B$14</f>
        <v/>
      </c>
      <c r="J43" s="12">
        <f>J33*Supuestos!$B$46*Supuestos!$B$47*Supuestos!$B$48*Supuestos!$B$14</f>
        <v/>
      </c>
      <c r="K43" s="12">
        <f>K33*Supuestos!$B$46*Supuestos!$B$47*Supuestos!$B$48*Supuestos!$B$14</f>
        <v/>
      </c>
      <c r="L43" s="12">
        <f>L33*Supuestos!$B$46*Supuestos!$B$47*Supuestos!$B$48*Supuestos!$B$14</f>
        <v/>
      </c>
      <c r="M43" s="12">
        <f>M33*Supuestos!$B$46*Supuestos!$B$47*Supuestos!$B$48*Supuestos!$B$14</f>
        <v/>
      </c>
      <c r="N43" s="12">
        <f>N33*Supuestos!$B$46*Supuestos!$B$47*Supuestos!$B$48*Supuestos!$B$14</f>
        <v/>
      </c>
      <c r="O43" s="12">
        <f>O33*Supuestos!$B$46*Supuestos!$B$47*Supuestos!$B$48*Supuestos!$B$14</f>
        <v/>
      </c>
      <c r="P43" s="12">
        <f>P33*Supuestos!$B$46*Supuestos!$B$47*Supuestos!$B$48*Supuestos!$B$14</f>
        <v/>
      </c>
      <c r="Q43" s="12">
        <f>Q33*Supuestos!$B$46*Supuestos!$B$47*Supuestos!$B$48*Supuestos!$B$14</f>
        <v/>
      </c>
      <c r="R43" s="12">
        <f>R33*Supuestos!$B$46*Supuestos!$B$47*Supuestos!$B$48*Supuestos!$B$14</f>
        <v/>
      </c>
      <c r="S43" s="12">
        <f>S33*Supuestos!$B$46*Supuestos!$B$47*Supuestos!$B$48*Supuestos!$B$14</f>
        <v/>
      </c>
      <c r="T43" s="12">
        <f>T33*Supuestos!$B$46*Supuestos!$B$47*Supuestos!$B$48*Supuestos!$B$14</f>
        <v/>
      </c>
      <c r="U43" s="12">
        <f>U33*Supuestos!$B$46*Supuestos!$B$47*Supuestos!$B$48*Supuestos!$B$14</f>
        <v/>
      </c>
      <c r="V43" s="12">
        <f>V33*Supuestos!$B$46*Supuestos!$B$47*Supuestos!$B$48*Supuestos!$B$14</f>
        <v/>
      </c>
      <c r="W43" s="12">
        <f>W33*Supuestos!$B$46*Supuestos!$B$47*Supuestos!$B$48*Supuestos!$B$14</f>
        <v/>
      </c>
      <c r="X43" s="12">
        <f>X33*Supuestos!$B$46*Supuestos!$B$47*Supuestos!$B$48*Supuestos!$B$14</f>
        <v/>
      </c>
      <c r="Y43" s="12">
        <f>Y33*Supuestos!$B$46*Supuestos!$B$47*Supuestos!$B$48*Supuestos!$B$14</f>
        <v/>
      </c>
      <c r="Z43" s="12">
        <f>Z33*Supuestos!$B$46*Supuestos!$B$47*Supuestos!$B$48*Supuestos!$B$14</f>
        <v/>
      </c>
    </row>
    <row r="44">
      <c r="A44" s="5" t="inlineStr">
        <is>
          <t>Total costos variables</t>
        </is>
      </c>
      <c r="B44" s="2" t="n"/>
      <c r="C44" s="12">
        <f>SUM(C38:C43)</f>
        <v/>
      </c>
      <c r="D44" s="12">
        <f>SUM(D38:D43)</f>
        <v/>
      </c>
      <c r="E44" s="12">
        <f>SUM(E38:E43)</f>
        <v/>
      </c>
      <c r="F44" s="12">
        <f>SUM(F38:F43)</f>
        <v/>
      </c>
      <c r="G44" s="12">
        <f>SUM(G38:G43)</f>
        <v/>
      </c>
      <c r="H44" s="12">
        <f>SUM(H38:H43)</f>
        <v/>
      </c>
      <c r="I44" s="12">
        <f>SUM(I38:I43)</f>
        <v/>
      </c>
      <c r="J44" s="12">
        <f>SUM(J38:J43)</f>
        <v/>
      </c>
      <c r="K44" s="12">
        <f>SUM(K38:K43)</f>
        <v/>
      </c>
      <c r="L44" s="12">
        <f>SUM(L38:L43)</f>
        <v/>
      </c>
      <c r="M44" s="12">
        <f>SUM(M38:M43)</f>
        <v/>
      </c>
      <c r="N44" s="12">
        <f>SUM(N38:N43)</f>
        <v/>
      </c>
      <c r="O44" s="12">
        <f>SUM(O38:O43)</f>
        <v/>
      </c>
      <c r="P44" s="12">
        <f>SUM(P38:P43)</f>
        <v/>
      </c>
      <c r="Q44" s="12">
        <f>SUM(Q38:Q43)</f>
        <v/>
      </c>
      <c r="R44" s="12">
        <f>SUM(R38:R43)</f>
        <v/>
      </c>
      <c r="S44" s="12">
        <f>SUM(S38:S43)</f>
        <v/>
      </c>
      <c r="T44" s="12">
        <f>SUM(T38:T43)</f>
        <v/>
      </c>
      <c r="U44" s="12">
        <f>SUM(U38:U43)</f>
        <v/>
      </c>
      <c r="V44" s="12">
        <f>SUM(V38:V43)</f>
        <v/>
      </c>
      <c r="W44" s="12">
        <f>SUM(W38:W43)</f>
        <v/>
      </c>
      <c r="X44" s="12">
        <f>SUM(X38:X43)</f>
        <v/>
      </c>
      <c r="Y44" s="12">
        <f>SUM(Y38:Y43)</f>
        <v/>
      </c>
      <c r="Z44" s="12">
        <f>SUM(Z38:Z43)</f>
        <v/>
      </c>
    </row>
    <row r="45">
      <c r="A45" s="41" t="inlineStr">
        <is>
          <t>MARGEN DE CONTRIBUCIÓN</t>
        </is>
      </c>
      <c r="B45" s="42" t="n"/>
      <c r="C45" s="43">
        <f>C35-C44</f>
        <v/>
      </c>
      <c r="D45" s="43">
        <f>D35-D44</f>
        <v/>
      </c>
      <c r="E45" s="43">
        <f>E35-E44</f>
        <v/>
      </c>
      <c r="F45" s="43">
        <f>F35-F44</f>
        <v/>
      </c>
      <c r="G45" s="43">
        <f>G35-G44</f>
        <v/>
      </c>
      <c r="H45" s="43">
        <f>H35-H44</f>
        <v/>
      </c>
      <c r="I45" s="43">
        <f>I35-I44</f>
        <v/>
      </c>
      <c r="J45" s="43">
        <f>J35-J44</f>
        <v/>
      </c>
      <c r="K45" s="43">
        <f>K35-K44</f>
        <v/>
      </c>
      <c r="L45" s="43">
        <f>L35-L44</f>
        <v/>
      </c>
      <c r="M45" s="43">
        <f>M35-M44</f>
        <v/>
      </c>
      <c r="N45" s="43">
        <f>N35-N44</f>
        <v/>
      </c>
      <c r="O45" s="43">
        <f>O35-O44</f>
        <v/>
      </c>
      <c r="P45" s="43">
        <f>P35-P44</f>
        <v/>
      </c>
      <c r="Q45" s="43">
        <f>Q35-Q44</f>
        <v/>
      </c>
      <c r="R45" s="43">
        <f>R35-R44</f>
        <v/>
      </c>
      <c r="S45" s="43">
        <f>S35-S44</f>
        <v/>
      </c>
      <c r="T45" s="43">
        <f>T35-T44</f>
        <v/>
      </c>
      <c r="U45" s="43">
        <f>U35-U44</f>
        <v/>
      </c>
      <c r="V45" s="43">
        <f>V35-V44</f>
        <v/>
      </c>
      <c r="W45" s="43">
        <f>W35-W44</f>
        <v/>
      </c>
      <c r="X45" s="43">
        <f>X35-X44</f>
        <v/>
      </c>
      <c r="Y45" s="43">
        <f>Y35-Y44</f>
        <v/>
      </c>
      <c r="Z45" s="43">
        <f>Z35-Z44</f>
        <v/>
      </c>
    </row>
    <row r="46">
      <c r="A46" s="5" t="inlineStr">
        <is>
          <t>Margen de contribución %</t>
        </is>
      </c>
      <c r="B46" s="2" t="n"/>
      <c r="C46" s="44">
        <f>IF(C35=0,0,C45/C35)</f>
        <v/>
      </c>
      <c r="D46" s="44">
        <f>IF(D35=0,0,D45/D35)</f>
        <v/>
      </c>
      <c r="E46" s="44">
        <f>IF(E35=0,0,E45/E35)</f>
        <v/>
      </c>
      <c r="F46" s="44">
        <f>IF(F35=0,0,F45/F35)</f>
        <v/>
      </c>
      <c r="G46" s="44">
        <f>IF(G35=0,0,G45/G35)</f>
        <v/>
      </c>
      <c r="H46" s="44">
        <f>IF(H35=0,0,H45/H35)</f>
        <v/>
      </c>
      <c r="I46" s="44">
        <f>IF(I35=0,0,I45/I35)</f>
        <v/>
      </c>
      <c r="J46" s="44">
        <f>IF(J35=0,0,J45/J35)</f>
        <v/>
      </c>
      <c r="K46" s="44">
        <f>IF(K35=0,0,K45/K35)</f>
        <v/>
      </c>
      <c r="L46" s="44">
        <f>IF(L35=0,0,L45/L35)</f>
        <v/>
      </c>
      <c r="M46" s="44">
        <f>IF(M35=0,0,M45/M35)</f>
        <v/>
      </c>
      <c r="N46" s="44">
        <f>IF(N35=0,0,N45/N35)</f>
        <v/>
      </c>
      <c r="O46" s="44">
        <f>IF(O35=0,0,O45/O35)</f>
        <v/>
      </c>
      <c r="P46" s="44">
        <f>IF(P35=0,0,P45/P35)</f>
        <v/>
      </c>
      <c r="Q46" s="44">
        <f>IF(Q35=0,0,Q45/Q35)</f>
        <v/>
      </c>
      <c r="R46" s="44">
        <f>IF(R35=0,0,R45/R35)</f>
        <v/>
      </c>
      <c r="S46" s="44">
        <f>IF(S35=0,0,S45/S35)</f>
        <v/>
      </c>
      <c r="T46" s="44">
        <f>IF(T35=0,0,T45/T35)</f>
        <v/>
      </c>
      <c r="U46" s="44">
        <f>IF(U35=0,0,U45/U35)</f>
        <v/>
      </c>
      <c r="V46" s="44">
        <f>IF(V35=0,0,V45/V35)</f>
        <v/>
      </c>
      <c r="W46" s="44">
        <f>IF(W35=0,0,W45/W35)</f>
        <v/>
      </c>
      <c r="X46" s="44">
        <f>IF(X35=0,0,X45/X35)</f>
        <v/>
      </c>
      <c r="Y46" s="44">
        <f>IF(Y35=0,0,Y45/Y35)</f>
        <v/>
      </c>
      <c r="Z46" s="44">
        <f>IF(Z35=0,0,Z45/Z35)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7" t="inlineStr">
        <is>
          <t>COSTOS FIJOS Y DE CRECIMIENTO</t>
        </is>
      </c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A49" s="5" t="inlineStr">
        <is>
          <t>Infraestructura</t>
        </is>
      </c>
      <c r="B49" s="2" t="n"/>
      <c r="C49" s="12">
        <f>(Supuestos!$B$15+Supuestos!$B$16*C5+Supuestos!$B$61*INT(C20/100)+IF(C3&gt;=Supuestos!$B$57-1,Supuestos!$B$59,0))*Supuestos!$B$14</f>
        <v/>
      </c>
      <c r="D49" s="12">
        <f>(Supuestos!$B$15+Supuestos!$B$16*D5+Supuestos!$B$61*INT(D20/100)+IF(D3&gt;=Supuestos!$B$57-1,Supuestos!$B$59,0))*Supuestos!$B$14</f>
        <v/>
      </c>
      <c r="E49" s="12">
        <f>(Supuestos!$B$15+Supuestos!$B$16*E5+Supuestos!$B$61*INT(E20/100)+IF(E3&gt;=Supuestos!$B$57-1,Supuestos!$B$59,0))*Supuestos!$B$14</f>
        <v/>
      </c>
      <c r="F49" s="12">
        <f>(Supuestos!$B$15+Supuestos!$B$16*F5+Supuestos!$B$61*INT(F20/100)+IF(F3&gt;=Supuestos!$B$57-1,Supuestos!$B$59,0))*Supuestos!$B$14</f>
        <v/>
      </c>
      <c r="G49" s="12">
        <f>(Supuestos!$B$15+Supuestos!$B$16*G5+Supuestos!$B$61*INT(G20/100)+IF(G3&gt;=Supuestos!$B$57-1,Supuestos!$B$59,0))*Supuestos!$B$14</f>
        <v/>
      </c>
      <c r="H49" s="12">
        <f>(Supuestos!$B$15+Supuestos!$B$16*H5+Supuestos!$B$61*INT(H20/100)+IF(H3&gt;=Supuestos!$B$57-1,Supuestos!$B$59,0))*Supuestos!$B$14</f>
        <v/>
      </c>
      <c r="I49" s="12">
        <f>(Supuestos!$B$15+Supuestos!$B$16*I5+Supuestos!$B$61*INT(I20/100)+IF(I3&gt;=Supuestos!$B$57-1,Supuestos!$B$59,0))*Supuestos!$B$14</f>
        <v/>
      </c>
      <c r="J49" s="12">
        <f>(Supuestos!$B$15+Supuestos!$B$16*J5+Supuestos!$B$61*INT(J20/100)+IF(J3&gt;=Supuestos!$B$57-1,Supuestos!$B$59,0))*Supuestos!$B$14</f>
        <v/>
      </c>
      <c r="K49" s="12">
        <f>(Supuestos!$B$15+Supuestos!$B$16*K5+Supuestos!$B$61*INT(K20/100)+IF(K3&gt;=Supuestos!$B$57-1,Supuestos!$B$59,0))*Supuestos!$B$14</f>
        <v/>
      </c>
      <c r="L49" s="12">
        <f>(Supuestos!$B$15+Supuestos!$B$16*L5+Supuestos!$B$61*INT(L20/100)+IF(L3&gt;=Supuestos!$B$57-1,Supuestos!$B$59,0))*Supuestos!$B$14</f>
        <v/>
      </c>
      <c r="M49" s="12">
        <f>(Supuestos!$B$15+Supuestos!$B$16*M5+Supuestos!$B$61*INT(M20/100)+IF(M3&gt;=Supuestos!$B$57-1,Supuestos!$B$59,0))*Supuestos!$B$14</f>
        <v/>
      </c>
      <c r="N49" s="12">
        <f>(Supuestos!$B$15+Supuestos!$B$16*N5+Supuestos!$B$61*INT(N20/100)+IF(N3&gt;=Supuestos!$B$57-1,Supuestos!$B$59,0))*Supuestos!$B$14</f>
        <v/>
      </c>
      <c r="O49" s="12">
        <f>(Supuestos!$B$15+Supuestos!$B$16*O5+Supuestos!$B$61*INT(O20/100)+IF(O3&gt;=Supuestos!$B$57-1,Supuestos!$B$59,0))*Supuestos!$B$14</f>
        <v/>
      </c>
      <c r="P49" s="12">
        <f>(Supuestos!$B$15+Supuestos!$B$16*P5+Supuestos!$B$61*INT(P20/100)+IF(P3&gt;=Supuestos!$B$57-1,Supuestos!$B$59,0))*Supuestos!$B$14</f>
        <v/>
      </c>
      <c r="Q49" s="12">
        <f>(Supuestos!$B$15+Supuestos!$B$16*Q5+Supuestos!$B$61*INT(Q20/100)+IF(Q3&gt;=Supuestos!$B$57-1,Supuestos!$B$59,0))*Supuestos!$B$14</f>
        <v/>
      </c>
      <c r="R49" s="12">
        <f>(Supuestos!$B$15+Supuestos!$B$16*R5+Supuestos!$B$61*INT(R20/100)+IF(R3&gt;=Supuestos!$B$57-1,Supuestos!$B$59,0))*Supuestos!$B$14</f>
        <v/>
      </c>
      <c r="S49" s="12">
        <f>(Supuestos!$B$15+Supuestos!$B$16*S5+Supuestos!$B$61*INT(S20/100)+IF(S3&gt;=Supuestos!$B$57-1,Supuestos!$B$59,0))*Supuestos!$B$14</f>
        <v/>
      </c>
      <c r="T49" s="12">
        <f>(Supuestos!$B$15+Supuestos!$B$16*T5+Supuestos!$B$61*INT(T20/100)+IF(T3&gt;=Supuestos!$B$57-1,Supuestos!$B$59,0))*Supuestos!$B$14</f>
        <v/>
      </c>
      <c r="U49" s="12">
        <f>(Supuestos!$B$15+Supuestos!$B$16*U5+Supuestos!$B$61*INT(U20/100)+IF(U3&gt;=Supuestos!$B$57-1,Supuestos!$B$59,0))*Supuestos!$B$14</f>
        <v/>
      </c>
      <c r="V49" s="12">
        <f>(Supuestos!$B$15+Supuestos!$B$16*V5+Supuestos!$B$61*INT(V20/100)+IF(V3&gt;=Supuestos!$B$57-1,Supuestos!$B$59,0))*Supuestos!$B$14</f>
        <v/>
      </c>
      <c r="W49" s="12">
        <f>(Supuestos!$B$15+Supuestos!$B$16*W5+Supuestos!$B$61*INT(W20/100)+IF(W3&gt;=Supuestos!$B$57-1,Supuestos!$B$59,0))*Supuestos!$B$14</f>
        <v/>
      </c>
      <c r="X49" s="12">
        <f>(Supuestos!$B$15+Supuestos!$B$16*X5+Supuestos!$B$61*INT(X20/100)+IF(X3&gt;=Supuestos!$B$57-1,Supuestos!$B$59,0))*Supuestos!$B$14</f>
        <v/>
      </c>
      <c r="Y49" s="12">
        <f>(Supuestos!$B$15+Supuestos!$B$16*Y5+Supuestos!$B$61*INT(Y20/100)+IF(Y3&gt;=Supuestos!$B$57-1,Supuestos!$B$59,0))*Supuestos!$B$14</f>
        <v/>
      </c>
      <c r="Z49" s="12">
        <f>(Supuestos!$B$15+Supuestos!$B$16*Z5+Supuestos!$B$61*INT(Z20/100)+IF(Z3&gt;=Supuestos!$B$57-1,Supuestos!$B$59,0))*Supuestos!$B$14</f>
        <v/>
      </c>
    </row>
    <row r="50">
      <c r="A50" s="5" t="inlineStr">
        <is>
          <t>Contador</t>
        </is>
      </c>
      <c r="B50" s="2" t="n"/>
      <c r="C50" s="8">
        <f>Supuestos!$B$36</f>
        <v/>
      </c>
      <c r="D50" s="8">
        <f>Supuestos!$B$36</f>
        <v/>
      </c>
      <c r="E50" s="8">
        <f>Supuestos!$B$36</f>
        <v/>
      </c>
      <c r="F50" s="8">
        <f>Supuestos!$B$36</f>
        <v/>
      </c>
      <c r="G50" s="8">
        <f>Supuestos!$B$36</f>
        <v/>
      </c>
      <c r="H50" s="8">
        <f>Supuestos!$B$36</f>
        <v/>
      </c>
      <c r="I50" s="8">
        <f>Supuestos!$B$36</f>
        <v/>
      </c>
      <c r="J50" s="8">
        <f>Supuestos!$B$36</f>
        <v/>
      </c>
      <c r="K50" s="8">
        <f>Supuestos!$B$36</f>
        <v/>
      </c>
      <c r="L50" s="8">
        <f>Supuestos!$B$36</f>
        <v/>
      </c>
      <c r="M50" s="8">
        <f>Supuestos!$B$36</f>
        <v/>
      </c>
      <c r="N50" s="8">
        <f>Supuestos!$B$36</f>
        <v/>
      </c>
      <c r="O50" s="8">
        <f>Supuestos!$B$36</f>
        <v/>
      </c>
      <c r="P50" s="8">
        <f>Supuestos!$B$36</f>
        <v/>
      </c>
      <c r="Q50" s="8">
        <f>Supuestos!$B$36</f>
        <v/>
      </c>
      <c r="R50" s="8">
        <f>Supuestos!$B$36</f>
        <v/>
      </c>
      <c r="S50" s="8">
        <f>Supuestos!$B$36</f>
        <v/>
      </c>
      <c r="T50" s="8">
        <f>Supuestos!$B$36</f>
        <v/>
      </c>
      <c r="U50" s="8">
        <f>Supuestos!$B$36</f>
        <v/>
      </c>
      <c r="V50" s="8">
        <f>Supuestos!$B$36</f>
        <v/>
      </c>
      <c r="W50" s="8">
        <f>Supuestos!$B$36</f>
        <v/>
      </c>
      <c r="X50" s="8">
        <f>Supuestos!$B$36</f>
        <v/>
      </c>
      <c r="Y50" s="8">
        <f>Supuestos!$B$36</f>
        <v/>
      </c>
      <c r="Z50" s="8">
        <f>Supuestos!$B$36</f>
        <v/>
      </c>
    </row>
    <row r="51">
      <c r="A51" s="5" t="inlineStr">
        <is>
          <t>Adquisición de médicos</t>
        </is>
      </c>
      <c r="B51" s="2" t="n"/>
      <c r="C51" s="12">
        <f>C8*Supuestos!$B$39+C18*Supuestos!$B$60</f>
        <v/>
      </c>
      <c r="D51" s="12">
        <f>D8*Supuestos!$B$39+D18*Supuestos!$B$60</f>
        <v/>
      </c>
      <c r="E51" s="12">
        <f>E8*Supuestos!$B$39+E18*Supuestos!$B$60</f>
        <v/>
      </c>
      <c r="F51" s="12">
        <f>F8*Supuestos!$B$39+F18*Supuestos!$B$60</f>
        <v/>
      </c>
      <c r="G51" s="12">
        <f>G8*Supuestos!$B$39+G18*Supuestos!$B$60</f>
        <v/>
      </c>
      <c r="H51" s="12">
        <f>H8*Supuestos!$B$39+H18*Supuestos!$B$60</f>
        <v/>
      </c>
      <c r="I51" s="12">
        <f>I8*Supuestos!$B$39+I18*Supuestos!$B$60</f>
        <v/>
      </c>
      <c r="J51" s="12">
        <f>J8*Supuestos!$B$39+J18*Supuestos!$B$60</f>
        <v/>
      </c>
      <c r="K51" s="12">
        <f>K8*Supuestos!$B$39+K18*Supuestos!$B$60</f>
        <v/>
      </c>
      <c r="L51" s="12">
        <f>L8*Supuestos!$B$39+L18*Supuestos!$B$60</f>
        <v/>
      </c>
      <c r="M51" s="12">
        <f>M8*Supuestos!$B$39+M18*Supuestos!$B$60</f>
        <v/>
      </c>
      <c r="N51" s="12">
        <f>N8*Supuestos!$B$39+N18*Supuestos!$B$60</f>
        <v/>
      </c>
      <c r="O51" s="12">
        <f>O8*Supuestos!$B$39+O18*Supuestos!$B$60</f>
        <v/>
      </c>
      <c r="P51" s="12">
        <f>P8*Supuestos!$B$39+P18*Supuestos!$B$60</f>
        <v/>
      </c>
      <c r="Q51" s="12">
        <f>Q8*Supuestos!$B$39+Q18*Supuestos!$B$60</f>
        <v/>
      </c>
      <c r="R51" s="12">
        <f>R8*Supuestos!$B$39+R18*Supuestos!$B$60</f>
        <v/>
      </c>
      <c r="S51" s="12">
        <f>S8*Supuestos!$B$39+S18*Supuestos!$B$60</f>
        <v/>
      </c>
      <c r="T51" s="12">
        <f>T8*Supuestos!$B$39+T18*Supuestos!$B$60</f>
        <v/>
      </c>
      <c r="U51" s="12">
        <f>U8*Supuestos!$B$39+U18*Supuestos!$B$60</f>
        <v/>
      </c>
      <c r="V51" s="12">
        <f>V8*Supuestos!$B$39+V18*Supuestos!$B$60</f>
        <v/>
      </c>
      <c r="W51" s="12">
        <f>W8*Supuestos!$B$39+W18*Supuestos!$B$60</f>
        <v/>
      </c>
      <c r="X51" s="12">
        <f>X8*Supuestos!$B$39+X18*Supuestos!$B$60</f>
        <v/>
      </c>
      <c r="Y51" s="12">
        <f>Y8*Supuestos!$B$39+Y18*Supuestos!$B$60</f>
        <v/>
      </c>
      <c r="Z51" s="12">
        <f>Z8*Supuestos!$B$39+Z18*Supuestos!$B$60</f>
        <v/>
      </c>
    </row>
    <row r="52">
      <c r="A52" s="5" t="inlineStr">
        <is>
          <t>Páginas a revisar (migración asistida)</t>
        </is>
      </c>
      <c r="B52" s="2" t="n"/>
      <c r="C52" s="45">
        <f>C33*Supuestos!$B$46*Supuestos!$B$47</f>
        <v/>
      </c>
      <c r="D52" s="45">
        <f>D33*Supuestos!$B$46*Supuestos!$B$47</f>
        <v/>
      </c>
      <c r="E52" s="45">
        <f>E33*Supuestos!$B$46*Supuestos!$B$47</f>
        <v/>
      </c>
      <c r="F52" s="45">
        <f>F33*Supuestos!$B$46*Supuestos!$B$47</f>
        <v/>
      </c>
      <c r="G52" s="45">
        <f>G33*Supuestos!$B$46*Supuestos!$B$47</f>
        <v/>
      </c>
      <c r="H52" s="45">
        <f>H33*Supuestos!$B$46*Supuestos!$B$47</f>
        <v/>
      </c>
      <c r="I52" s="45">
        <f>I33*Supuestos!$B$46*Supuestos!$B$47</f>
        <v/>
      </c>
      <c r="J52" s="45">
        <f>J33*Supuestos!$B$46*Supuestos!$B$47</f>
        <v/>
      </c>
      <c r="K52" s="45">
        <f>K33*Supuestos!$B$46*Supuestos!$B$47</f>
        <v/>
      </c>
      <c r="L52" s="45">
        <f>L33*Supuestos!$B$46*Supuestos!$B$47</f>
        <v/>
      </c>
      <c r="M52" s="45">
        <f>M33*Supuestos!$B$46*Supuestos!$B$47</f>
        <v/>
      </c>
      <c r="N52" s="45">
        <f>N33*Supuestos!$B$46*Supuestos!$B$47</f>
        <v/>
      </c>
      <c r="O52" s="45">
        <f>O33*Supuestos!$B$46*Supuestos!$B$47</f>
        <v/>
      </c>
      <c r="P52" s="45">
        <f>P33*Supuestos!$B$46*Supuestos!$B$47</f>
        <v/>
      </c>
      <c r="Q52" s="45">
        <f>Q33*Supuestos!$B$46*Supuestos!$B$47</f>
        <v/>
      </c>
      <c r="R52" s="45">
        <f>R33*Supuestos!$B$46*Supuestos!$B$47</f>
        <v/>
      </c>
      <c r="S52" s="45">
        <f>S33*Supuestos!$B$46*Supuestos!$B$47</f>
        <v/>
      </c>
      <c r="T52" s="45">
        <f>T33*Supuestos!$B$46*Supuestos!$B$47</f>
        <v/>
      </c>
      <c r="U52" s="45">
        <f>U33*Supuestos!$B$46*Supuestos!$B$47</f>
        <v/>
      </c>
      <c r="V52" s="45">
        <f>V33*Supuestos!$B$46*Supuestos!$B$47</f>
        <v/>
      </c>
      <c r="W52" s="45">
        <f>W33*Supuestos!$B$46*Supuestos!$B$47</f>
        <v/>
      </c>
      <c r="X52" s="45">
        <f>X33*Supuestos!$B$46*Supuestos!$B$47</f>
        <v/>
      </c>
      <c r="Y52" s="45">
        <f>Y33*Supuestos!$B$46*Supuestos!$B$47</f>
        <v/>
      </c>
      <c r="Z52" s="45">
        <f>Z33*Supuestos!$B$46*Supuestos!$B$47</f>
        <v/>
      </c>
    </row>
    <row r="53">
      <c r="A53" s="5" t="inlineStr">
        <is>
          <t>Personas de migración</t>
        </is>
      </c>
      <c r="B53" s="2" t="n"/>
      <c r="C53" s="45">
        <f>IF(C3&gt;=Supuestos!$B$57-Supuestos!$B$52,MAX(1,ROUNDUP(C52*Supuestos!$B$49/60/Supuestos!$B$51,0)),ROUNDUP(C52*Supuestos!$B$49/60/Supuestos!$B$51,0))</f>
        <v/>
      </c>
      <c r="D53" s="45">
        <f>IF(D3&gt;=Supuestos!$B$57-Supuestos!$B$52,MAX(1,ROUNDUP(D52*Supuestos!$B$49/60/Supuestos!$B$51,0)),ROUNDUP(D52*Supuestos!$B$49/60/Supuestos!$B$51,0))</f>
        <v/>
      </c>
      <c r="E53" s="45">
        <f>IF(E3&gt;=Supuestos!$B$57-Supuestos!$B$52,MAX(1,ROUNDUP(E52*Supuestos!$B$49/60/Supuestos!$B$51,0)),ROUNDUP(E52*Supuestos!$B$49/60/Supuestos!$B$51,0))</f>
        <v/>
      </c>
      <c r="F53" s="45">
        <f>IF(F3&gt;=Supuestos!$B$57-Supuestos!$B$52,MAX(1,ROUNDUP(F52*Supuestos!$B$49/60/Supuestos!$B$51,0)),ROUNDUP(F52*Supuestos!$B$49/60/Supuestos!$B$51,0))</f>
        <v/>
      </c>
      <c r="G53" s="45">
        <f>IF(G3&gt;=Supuestos!$B$57-Supuestos!$B$52,MAX(1,ROUNDUP(G52*Supuestos!$B$49/60/Supuestos!$B$51,0)),ROUNDUP(G52*Supuestos!$B$49/60/Supuestos!$B$51,0))</f>
        <v/>
      </c>
      <c r="H53" s="45">
        <f>IF(H3&gt;=Supuestos!$B$57-Supuestos!$B$52,MAX(1,ROUNDUP(H52*Supuestos!$B$49/60/Supuestos!$B$51,0)),ROUNDUP(H52*Supuestos!$B$49/60/Supuestos!$B$51,0))</f>
        <v/>
      </c>
      <c r="I53" s="45">
        <f>IF(I3&gt;=Supuestos!$B$57-Supuestos!$B$52,MAX(1,ROUNDUP(I52*Supuestos!$B$49/60/Supuestos!$B$51,0)),ROUNDUP(I52*Supuestos!$B$49/60/Supuestos!$B$51,0))</f>
        <v/>
      </c>
      <c r="J53" s="45">
        <f>IF(J3&gt;=Supuestos!$B$57-Supuestos!$B$52,MAX(1,ROUNDUP(J52*Supuestos!$B$49/60/Supuestos!$B$51,0)),ROUNDUP(J52*Supuestos!$B$49/60/Supuestos!$B$51,0))</f>
        <v/>
      </c>
      <c r="K53" s="45">
        <f>IF(K3&gt;=Supuestos!$B$57-Supuestos!$B$52,MAX(1,ROUNDUP(K52*Supuestos!$B$49/60/Supuestos!$B$51,0)),ROUNDUP(K52*Supuestos!$B$49/60/Supuestos!$B$51,0))</f>
        <v/>
      </c>
      <c r="L53" s="45">
        <f>IF(L3&gt;=Supuestos!$B$57-Supuestos!$B$52,MAX(1,ROUNDUP(L52*Supuestos!$B$49/60/Supuestos!$B$51,0)),ROUNDUP(L52*Supuestos!$B$49/60/Supuestos!$B$51,0))</f>
        <v/>
      </c>
      <c r="M53" s="45">
        <f>IF(M3&gt;=Supuestos!$B$57-Supuestos!$B$52,MAX(1,ROUNDUP(M52*Supuestos!$B$49/60/Supuestos!$B$51,0)),ROUNDUP(M52*Supuestos!$B$49/60/Supuestos!$B$51,0))</f>
        <v/>
      </c>
      <c r="N53" s="45">
        <f>IF(N3&gt;=Supuestos!$B$57-Supuestos!$B$52,MAX(1,ROUNDUP(N52*Supuestos!$B$49/60/Supuestos!$B$51,0)),ROUNDUP(N52*Supuestos!$B$49/60/Supuestos!$B$51,0))</f>
        <v/>
      </c>
      <c r="O53" s="45">
        <f>IF(O3&gt;=Supuestos!$B$57-Supuestos!$B$52,MAX(1,ROUNDUP(O52*Supuestos!$B$49/60/Supuestos!$B$51,0)),ROUNDUP(O52*Supuestos!$B$49/60/Supuestos!$B$51,0))</f>
        <v/>
      </c>
      <c r="P53" s="45">
        <f>IF(P3&gt;=Supuestos!$B$57-Supuestos!$B$52,MAX(1,ROUNDUP(P52*Supuestos!$B$49/60/Supuestos!$B$51,0)),ROUNDUP(P52*Supuestos!$B$49/60/Supuestos!$B$51,0))</f>
        <v/>
      </c>
      <c r="Q53" s="45">
        <f>IF(Q3&gt;=Supuestos!$B$57-Supuestos!$B$52,MAX(1,ROUNDUP(Q52*Supuestos!$B$49/60/Supuestos!$B$51,0)),ROUNDUP(Q52*Supuestos!$B$49/60/Supuestos!$B$51,0))</f>
        <v/>
      </c>
      <c r="R53" s="45">
        <f>IF(R3&gt;=Supuestos!$B$57-Supuestos!$B$52,MAX(1,ROUNDUP(R52*Supuestos!$B$49/60/Supuestos!$B$51,0)),ROUNDUP(R52*Supuestos!$B$49/60/Supuestos!$B$51,0))</f>
        <v/>
      </c>
      <c r="S53" s="45">
        <f>IF(S3&gt;=Supuestos!$B$57-Supuestos!$B$52,MAX(1,ROUNDUP(S52*Supuestos!$B$49/60/Supuestos!$B$51,0)),ROUNDUP(S52*Supuestos!$B$49/60/Supuestos!$B$51,0))</f>
        <v/>
      </c>
      <c r="T53" s="45">
        <f>IF(T3&gt;=Supuestos!$B$57-Supuestos!$B$52,MAX(1,ROUNDUP(T52*Supuestos!$B$49/60/Supuestos!$B$51,0)),ROUNDUP(T52*Supuestos!$B$49/60/Supuestos!$B$51,0))</f>
        <v/>
      </c>
      <c r="U53" s="45">
        <f>IF(U3&gt;=Supuestos!$B$57-Supuestos!$B$52,MAX(1,ROUNDUP(U52*Supuestos!$B$49/60/Supuestos!$B$51,0)),ROUNDUP(U52*Supuestos!$B$49/60/Supuestos!$B$51,0))</f>
        <v/>
      </c>
      <c r="V53" s="45">
        <f>IF(V3&gt;=Supuestos!$B$57-Supuestos!$B$52,MAX(1,ROUNDUP(V52*Supuestos!$B$49/60/Supuestos!$B$51,0)),ROUNDUP(V52*Supuestos!$B$49/60/Supuestos!$B$51,0))</f>
        <v/>
      </c>
      <c r="W53" s="45">
        <f>IF(W3&gt;=Supuestos!$B$57-Supuestos!$B$52,MAX(1,ROUNDUP(W52*Supuestos!$B$49/60/Supuestos!$B$51,0)),ROUNDUP(W52*Supuestos!$B$49/60/Supuestos!$B$51,0))</f>
        <v/>
      </c>
      <c r="X53" s="45">
        <f>IF(X3&gt;=Supuestos!$B$57-Supuestos!$B$52,MAX(1,ROUNDUP(X52*Supuestos!$B$49/60/Supuestos!$B$51,0)),ROUNDUP(X52*Supuestos!$B$49/60/Supuestos!$B$51,0))</f>
        <v/>
      </c>
      <c r="Y53" s="45">
        <f>IF(Y3&gt;=Supuestos!$B$57-Supuestos!$B$52,MAX(1,ROUNDUP(Y52*Supuestos!$B$49/60/Supuestos!$B$51,0)),ROUNDUP(Y52*Supuestos!$B$49/60/Supuestos!$B$51,0))</f>
        <v/>
      </c>
      <c r="Z53" s="45">
        <f>IF(Z3&gt;=Supuestos!$B$57-Supuestos!$B$52,MAX(1,ROUNDUP(Z52*Supuestos!$B$49/60/Supuestos!$B$51,0)),ROUNDUP(Z52*Supuestos!$B$49/60/Supuestos!$B$51,0))</f>
        <v/>
      </c>
    </row>
    <row r="54">
      <c r="A54" s="5" t="inlineStr">
        <is>
          <t>Personal de migración + capacitación</t>
        </is>
      </c>
      <c r="B54" s="2" t="n"/>
      <c r="C54" s="12">
        <f>C53*Supuestos!$B$50+MAX(0,C53-0)*Supuestos!$B$53</f>
        <v/>
      </c>
      <c r="D54" s="12">
        <f>D53*Supuestos!$B$50+MAX(0,D53-C53)*Supuestos!$B$53</f>
        <v/>
      </c>
      <c r="E54" s="12">
        <f>E53*Supuestos!$B$50+MAX(0,E53-D53)*Supuestos!$B$53</f>
        <v/>
      </c>
      <c r="F54" s="12">
        <f>F53*Supuestos!$B$50+MAX(0,F53-E53)*Supuestos!$B$53</f>
        <v/>
      </c>
      <c r="G54" s="12">
        <f>G53*Supuestos!$B$50+MAX(0,G53-F53)*Supuestos!$B$53</f>
        <v/>
      </c>
      <c r="H54" s="12">
        <f>H53*Supuestos!$B$50+MAX(0,H53-G53)*Supuestos!$B$53</f>
        <v/>
      </c>
      <c r="I54" s="12">
        <f>I53*Supuestos!$B$50+MAX(0,I53-H53)*Supuestos!$B$53</f>
        <v/>
      </c>
      <c r="J54" s="12">
        <f>J53*Supuestos!$B$50+MAX(0,J53-I53)*Supuestos!$B$53</f>
        <v/>
      </c>
      <c r="K54" s="12">
        <f>K53*Supuestos!$B$50+MAX(0,K53-J53)*Supuestos!$B$53</f>
        <v/>
      </c>
      <c r="L54" s="12">
        <f>L53*Supuestos!$B$50+MAX(0,L53-K53)*Supuestos!$B$53</f>
        <v/>
      </c>
      <c r="M54" s="12">
        <f>M53*Supuestos!$B$50+MAX(0,M53-L53)*Supuestos!$B$53</f>
        <v/>
      </c>
      <c r="N54" s="12">
        <f>N53*Supuestos!$B$50+MAX(0,N53-M53)*Supuestos!$B$53</f>
        <v/>
      </c>
      <c r="O54" s="12">
        <f>O53*Supuestos!$B$50+MAX(0,O53-N53)*Supuestos!$B$53</f>
        <v/>
      </c>
      <c r="P54" s="12">
        <f>P53*Supuestos!$B$50+MAX(0,P53-O53)*Supuestos!$B$53</f>
        <v/>
      </c>
      <c r="Q54" s="12">
        <f>Q53*Supuestos!$B$50+MAX(0,Q53-P53)*Supuestos!$B$53</f>
        <v/>
      </c>
      <c r="R54" s="12">
        <f>R53*Supuestos!$B$50+MAX(0,R53-Q53)*Supuestos!$B$53</f>
        <v/>
      </c>
      <c r="S54" s="12">
        <f>S53*Supuestos!$B$50+MAX(0,S53-R53)*Supuestos!$B$53</f>
        <v/>
      </c>
      <c r="T54" s="12">
        <f>T53*Supuestos!$B$50+MAX(0,T53-S53)*Supuestos!$B$53</f>
        <v/>
      </c>
      <c r="U54" s="12">
        <f>U53*Supuestos!$B$50+MAX(0,U53-T53)*Supuestos!$B$53</f>
        <v/>
      </c>
      <c r="V54" s="12">
        <f>V53*Supuestos!$B$50+MAX(0,V53-U53)*Supuestos!$B$53</f>
        <v/>
      </c>
      <c r="W54" s="12">
        <f>W53*Supuestos!$B$50+MAX(0,W53-V53)*Supuestos!$B$53</f>
        <v/>
      </c>
      <c r="X54" s="12">
        <f>X53*Supuestos!$B$50+MAX(0,X53-W53)*Supuestos!$B$53</f>
        <v/>
      </c>
      <c r="Y54" s="12">
        <f>Y53*Supuestos!$B$50+MAX(0,Y53-X53)*Supuestos!$B$53</f>
        <v/>
      </c>
      <c r="Z54" s="12">
        <f>Z53*Supuestos!$B$50+MAX(0,Z53-Y53)*Supuestos!$B$53</f>
        <v/>
      </c>
    </row>
    <row r="55">
      <c r="A55" s="5" t="inlineStr">
        <is>
          <t>Sueldo de Víctor</t>
        </is>
      </c>
      <c r="B55" s="2" t="n"/>
      <c r="C55" s="8">
        <f>Supuestos!$B$40</f>
        <v/>
      </c>
      <c r="D55" s="8">
        <f>Supuestos!$B$40</f>
        <v/>
      </c>
      <c r="E55" s="8">
        <f>Supuestos!$B$40</f>
        <v/>
      </c>
      <c r="F55" s="8">
        <f>Supuestos!$B$40</f>
        <v/>
      </c>
      <c r="G55" s="8">
        <f>Supuestos!$B$40</f>
        <v/>
      </c>
      <c r="H55" s="8">
        <f>Supuestos!$B$40</f>
        <v/>
      </c>
      <c r="I55" s="8">
        <f>Supuestos!$B$40</f>
        <v/>
      </c>
      <c r="J55" s="8">
        <f>Supuestos!$B$40</f>
        <v/>
      </c>
      <c r="K55" s="8">
        <f>Supuestos!$B$40</f>
        <v/>
      </c>
      <c r="L55" s="8">
        <f>Supuestos!$B$40</f>
        <v/>
      </c>
      <c r="M55" s="8">
        <f>Supuestos!$B$40</f>
        <v/>
      </c>
      <c r="N55" s="8">
        <f>Supuestos!$B$40</f>
        <v/>
      </c>
      <c r="O55" s="8">
        <f>Supuestos!$B$40</f>
        <v/>
      </c>
      <c r="P55" s="8">
        <f>Supuestos!$B$40</f>
        <v/>
      </c>
      <c r="Q55" s="8">
        <f>Supuestos!$B$40</f>
        <v/>
      </c>
      <c r="R55" s="8">
        <f>Supuestos!$B$40</f>
        <v/>
      </c>
      <c r="S55" s="8">
        <f>Supuestos!$B$40</f>
        <v/>
      </c>
      <c r="T55" s="8">
        <f>Supuestos!$B$40</f>
        <v/>
      </c>
      <c r="U55" s="8">
        <f>Supuestos!$B$40</f>
        <v/>
      </c>
      <c r="V55" s="8">
        <f>Supuestos!$B$40</f>
        <v/>
      </c>
      <c r="W55" s="8">
        <f>Supuestos!$B$40</f>
        <v/>
      </c>
      <c r="X55" s="8">
        <f>Supuestos!$B$40</f>
        <v/>
      </c>
      <c r="Y55" s="8">
        <f>Supuestos!$B$40</f>
        <v/>
      </c>
      <c r="Z55" s="8">
        <f>Supuestos!$B$40</f>
        <v/>
      </c>
    </row>
    <row r="56">
      <c r="A56" s="5" t="inlineStr">
        <is>
          <t>Pagos únicos (abogado, prueba de penetración)</t>
        </is>
      </c>
      <c r="B56" s="2" t="n"/>
      <c r="C56" s="12">
        <f>IF(C3=1,Supuestos!$B$41,0)+IF(C3=Supuestos!$B$43,Supuestos!$B$42,0)</f>
        <v/>
      </c>
      <c r="D56" s="12">
        <f>IF(D3=1,Supuestos!$B$41,0)+IF(D3=Supuestos!$B$43,Supuestos!$B$42,0)</f>
        <v/>
      </c>
      <c r="E56" s="12">
        <f>IF(E3=1,Supuestos!$B$41,0)+IF(E3=Supuestos!$B$43,Supuestos!$B$42,0)</f>
        <v/>
      </c>
      <c r="F56" s="12">
        <f>IF(F3=1,Supuestos!$B$41,0)+IF(F3=Supuestos!$B$43,Supuestos!$B$42,0)</f>
        <v/>
      </c>
      <c r="G56" s="12">
        <f>IF(G3=1,Supuestos!$B$41,0)+IF(G3=Supuestos!$B$43,Supuestos!$B$42,0)</f>
        <v/>
      </c>
      <c r="H56" s="12">
        <f>IF(H3=1,Supuestos!$B$41,0)+IF(H3=Supuestos!$B$43,Supuestos!$B$42,0)</f>
        <v/>
      </c>
      <c r="I56" s="12">
        <f>IF(I3=1,Supuestos!$B$41,0)+IF(I3=Supuestos!$B$43,Supuestos!$B$42,0)</f>
        <v/>
      </c>
      <c r="J56" s="12">
        <f>IF(J3=1,Supuestos!$B$41,0)+IF(J3=Supuestos!$B$43,Supuestos!$B$42,0)</f>
        <v/>
      </c>
      <c r="K56" s="12">
        <f>IF(K3=1,Supuestos!$B$41,0)+IF(K3=Supuestos!$B$43,Supuestos!$B$42,0)</f>
        <v/>
      </c>
      <c r="L56" s="12">
        <f>IF(L3=1,Supuestos!$B$41,0)+IF(L3=Supuestos!$B$43,Supuestos!$B$42,0)</f>
        <v/>
      </c>
      <c r="M56" s="12">
        <f>IF(M3=1,Supuestos!$B$41,0)+IF(M3=Supuestos!$B$43,Supuestos!$B$42,0)</f>
        <v/>
      </c>
      <c r="N56" s="12">
        <f>IF(N3=1,Supuestos!$B$41,0)+IF(N3=Supuestos!$B$43,Supuestos!$B$42,0)</f>
        <v/>
      </c>
      <c r="O56" s="12">
        <f>IF(O3=1,Supuestos!$B$41,0)+IF(O3=Supuestos!$B$43,Supuestos!$B$42,0)</f>
        <v/>
      </c>
      <c r="P56" s="12">
        <f>IF(P3=1,Supuestos!$B$41,0)+IF(P3=Supuestos!$B$43,Supuestos!$B$42,0)</f>
        <v/>
      </c>
      <c r="Q56" s="12">
        <f>IF(Q3=1,Supuestos!$B$41,0)+IF(Q3=Supuestos!$B$43,Supuestos!$B$42,0)</f>
        <v/>
      </c>
      <c r="R56" s="12">
        <f>IF(R3=1,Supuestos!$B$41,0)+IF(R3=Supuestos!$B$43,Supuestos!$B$42,0)</f>
        <v/>
      </c>
      <c r="S56" s="12">
        <f>IF(S3=1,Supuestos!$B$41,0)+IF(S3=Supuestos!$B$43,Supuestos!$B$42,0)</f>
        <v/>
      </c>
      <c r="T56" s="12">
        <f>IF(T3=1,Supuestos!$B$41,0)+IF(T3=Supuestos!$B$43,Supuestos!$B$42,0)</f>
        <v/>
      </c>
      <c r="U56" s="12">
        <f>IF(U3=1,Supuestos!$B$41,0)+IF(U3=Supuestos!$B$43,Supuestos!$B$42,0)</f>
        <v/>
      </c>
      <c r="V56" s="12">
        <f>IF(V3=1,Supuestos!$B$41,0)+IF(V3=Supuestos!$B$43,Supuestos!$B$42,0)</f>
        <v/>
      </c>
      <c r="W56" s="12">
        <f>IF(W3=1,Supuestos!$B$41,0)+IF(W3=Supuestos!$B$43,Supuestos!$B$42,0)</f>
        <v/>
      </c>
      <c r="X56" s="12">
        <f>IF(X3=1,Supuestos!$B$41,0)+IF(X3=Supuestos!$B$43,Supuestos!$B$42,0)</f>
        <v/>
      </c>
      <c r="Y56" s="12">
        <f>IF(Y3=1,Supuestos!$B$41,0)+IF(Y3=Supuestos!$B$43,Supuestos!$B$42,0)</f>
        <v/>
      </c>
      <c r="Z56" s="12">
        <f>IF(Z3=1,Supuestos!$B$41,0)+IF(Z3=Supuestos!$B$43,Supuestos!$B$42,0)</f>
        <v/>
      </c>
    </row>
    <row r="57">
      <c r="A57" s="5" t="inlineStr">
        <is>
          <t>Total fijos y crecimiento</t>
        </is>
      </c>
      <c r="B57" s="2" t="n"/>
      <c r="C57" s="12">
        <f>C49+C50+C51+C54+C55+C56</f>
        <v/>
      </c>
      <c r="D57" s="12">
        <f>D49+D50+D51+D54+D55+D56</f>
        <v/>
      </c>
      <c r="E57" s="12">
        <f>E49+E50+E51+E54+E55+E56</f>
        <v/>
      </c>
      <c r="F57" s="12">
        <f>F49+F50+F51+F54+F55+F56</f>
        <v/>
      </c>
      <c r="G57" s="12">
        <f>G49+G50+G51+G54+G55+G56</f>
        <v/>
      </c>
      <c r="H57" s="12">
        <f>H49+H50+H51+H54+H55+H56</f>
        <v/>
      </c>
      <c r="I57" s="12">
        <f>I49+I50+I51+I54+I55+I56</f>
        <v/>
      </c>
      <c r="J57" s="12">
        <f>J49+J50+J51+J54+J55+J56</f>
        <v/>
      </c>
      <c r="K57" s="12">
        <f>K49+K50+K51+K54+K55+K56</f>
        <v/>
      </c>
      <c r="L57" s="12">
        <f>L49+L50+L51+L54+L55+L56</f>
        <v/>
      </c>
      <c r="M57" s="12">
        <f>M49+M50+M51+M54+M55+M56</f>
        <v/>
      </c>
      <c r="N57" s="12">
        <f>N49+N50+N51+N54+N55+N56</f>
        <v/>
      </c>
      <c r="O57" s="12">
        <f>O49+O50+O51+O54+O55+O56</f>
        <v/>
      </c>
      <c r="P57" s="12">
        <f>P49+P50+P51+P54+P55+P56</f>
        <v/>
      </c>
      <c r="Q57" s="12">
        <f>Q49+Q50+Q51+Q54+Q55+Q56</f>
        <v/>
      </c>
      <c r="R57" s="12">
        <f>R49+R50+R51+R54+R55+R56</f>
        <v/>
      </c>
      <c r="S57" s="12">
        <f>S49+S50+S51+S54+S55+S56</f>
        <v/>
      </c>
      <c r="T57" s="12">
        <f>T49+T50+T51+T54+T55+T56</f>
        <v/>
      </c>
      <c r="U57" s="12">
        <f>U49+U50+U51+U54+U55+U56</f>
        <v/>
      </c>
      <c r="V57" s="12">
        <f>V49+V50+V51+V54+V55+V56</f>
        <v/>
      </c>
      <c r="W57" s="12">
        <f>W49+W50+W51+W54+W55+W56</f>
        <v/>
      </c>
      <c r="X57" s="12">
        <f>X49+X50+X51+X54+X55+X56</f>
        <v/>
      </c>
      <c r="Y57" s="12">
        <f>Y49+Y50+Y51+Y54+Y55+Y56</f>
        <v/>
      </c>
      <c r="Z57" s="12">
        <f>Z49+Z50+Z51+Z54+Z55+Z56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41" t="inlineStr">
        <is>
          <t>FLUJO NETO DEL MES</t>
        </is>
      </c>
      <c r="B59" s="42" t="n"/>
      <c r="C59" s="43">
        <f>C45-C57</f>
        <v/>
      </c>
      <c r="D59" s="43">
        <f>D45-D57</f>
        <v/>
      </c>
      <c r="E59" s="43">
        <f>E45-E57</f>
        <v/>
      </c>
      <c r="F59" s="43">
        <f>F45-F57</f>
        <v/>
      </c>
      <c r="G59" s="43">
        <f>G45-G57</f>
        <v/>
      </c>
      <c r="H59" s="43">
        <f>H45-H57</f>
        <v/>
      </c>
      <c r="I59" s="43">
        <f>I45-I57</f>
        <v/>
      </c>
      <c r="J59" s="43">
        <f>J45-J57</f>
        <v/>
      </c>
      <c r="K59" s="43">
        <f>K45-K57</f>
        <v/>
      </c>
      <c r="L59" s="43">
        <f>L45-L57</f>
        <v/>
      </c>
      <c r="M59" s="43">
        <f>M45-M57</f>
        <v/>
      </c>
      <c r="N59" s="43">
        <f>N45-N57</f>
        <v/>
      </c>
      <c r="O59" s="43">
        <f>O45-O57</f>
        <v/>
      </c>
      <c r="P59" s="43">
        <f>P45-P57</f>
        <v/>
      </c>
      <c r="Q59" s="43">
        <f>Q45-Q57</f>
        <v/>
      </c>
      <c r="R59" s="43">
        <f>R45-R57</f>
        <v/>
      </c>
      <c r="S59" s="43">
        <f>S45-S57</f>
        <v/>
      </c>
      <c r="T59" s="43">
        <f>T45-T57</f>
        <v/>
      </c>
      <c r="U59" s="43">
        <f>U45-U57</f>
        <v/>
      </c>
      <c r="V59" s="43">
        <f>V45-V57</f>
        <v/>
      </c>
      <c r="W59" s="43">
        <f>W45-W57</f>
        <v/>
      </c>
      <c r="X59" s="43">
        <f>X45-X57</f>
        <v/>
      </c>
      <c r="Y59" s="43">
        <f>Y45-Y57</f>
        <v/>
      </c>
      <c r="Z59" s="43">
        <f>Z45-Z57</f>
        <v/>
      </c>
    </row>
    <row r="60">
      <c r="A60" s="41" t="inlineStr">
        <is>
          <t>FLUJO ACUMULADO</t>
        </is>
      </c>
      <c r="B60" s="42" t="n"/>
      <c r="C60" s="43">
        <f>C59</f>
        <v/>
      </c>
      <c r="D60" s="43">
        <f>C60+D59</f>
        <v/>
      </c>
      <c r="E60" s="43">
        <f>D60+E59</f>
        <v/>
      </c>
      <c r="F60" s="43">
        <f>E60+F59</f>
        <v/>
      </c>
      <c r="G60" s="43">
        <f>F60+G59</f>
        <v/>
      </c>
      <c r="H60" s="43">
        <f>G60+H59</f>
        <v/>
      </c>
      <c r="I60" s="43">
        <f>H60+I59</f>
        <v/>
      </c>
      <c r="J60" s="43">
        <f>I60+J59</f>
        <v/>
      </c>
      <c r="K60" s="43">
        <f>J60+K59</f>
        <v/>
      </c>
      <c r="L60" s="43">
        <f>K60+L59</f>
        <v/>
      </c>
      <c r="M60" s="43">
        <f>L60+M59</f>
        <v/>
      </c>
      <c r="N60" s="43">
        <f>M60+N59</f>
        <v/>
      </c>
      <c r="O60" s="43">
        <f>N60+O59</f>
        <v/>
      </c>
      <c r="P60" s="43">
        <f>O60+P59</f>
        <v/>
      </c>
      <c r="Q60" s="43">
        <f>P60+Q59</f>
        <v/>
      </c>
      <c r="R60" s="43">
        <f>Q60+R59</f>
        <v/>
      </c>
      <c r="S60" s="43">
        <f>R60+S59</f>
        <v/>
      </c>
      <c r="T60" s="43">
        <f>S60+T59</f>
        <v/>
      </c>
      <c r="U60" s="43">
        <f>T60+U59</f>
        <v/>
      </c>
      <c r="V60" s="43">
        <f>U60+V59</f>
        <v/>
      </c>
      <c r="W60" s="43">
        <f>V60+W59</f>
        <v/>
      </c>
      <c r="X60" s="43">
        <f>W60+X59</f>
        <v/>
      </c>
      <c r="Y60" s="43">
        <f>X60+Y59</f>
        <v/>
      </c>
      <c r="Z60" s="43">
        <f>Y60+Z59</f>
        <v/>
      </c>
    </row>
    <row r="61">
      <c r="A61" s="5" t="inlineStr">
        <is>
          <t>Ingreso recurrente anualizado (ARR)</t>
        </is>
      </c>
      <c r="B61" s="2" t="n"/>
      <c r="C61" s="12">
        <f>C32*12</f>
        <v/>
      </c>
      <c r="D61" s="12">
        <f>D32*12</f>
        <v/>
      </c>
      <c r="E61" s="12">
        <f>E32*12</f>
        <v/>
      </c>
      <c r="F61" s="12">
        <f>F32*12</f>
        <v/>
      </c>
      <c r="G61" s="12">
        <f>G32*12</f>
        <v/>
      </c>
      <c r="H61" s="12">
        <f>H32*12</f>
        <v/>
      </c>
      <c r="I61" s="12">
        <f>I32*12</f>
        <v/>
      </c>
      <c r="J61" s="12">
        <f>J32*12</f>
        <v/>
      </c>
      <c r="K61" s="12">
        <f>K32*12</f>
        <v/>
      </c>
      <c r="L61" s="12">
        <f>L32*12</f>
        <v/>
      </c>
      <c r="M61" s="12">
        <f>M32*12</f>
        <v/>
      </c>
      <c r="N61" s="12">
        <f>N32*12</f>
        <v/>
      </c>
      <c r="O61" s="12">
        <f>O32*12</f>
        <v/>
      </c>
      <c r="P61" s="12">
        <f>P32*12</f>
        <v/>
      </c>
      <c r="Q61" s="12">
        <f>Q32*12</f>
        <v/>
      </c>
      <c r="R61" s="12">
        <f>R32*12</f>
        <v/>
      </c>
      <c r="S61" s="12">
        <f>S32*12</f>
        <v/>
      </c>
      <c r="T61" s="12">
        <f>T32*12</f>
        <v/>
      </c>
      <c r="U61" s="12">
        <f>U32*12</f>
        <v/>
      </c>
      <c r="V61" s="12">
        <f>V32*12</f>
        <v/>
      </c>
      <c r="W61" s="12">
        <f>W32*12</f>
        <v/>
      </c>
      <c r="X61" s="12">
        <f>X32*12</f>
        <v/>
      </c>
      <c r="Y61" s="12">
        <f>Y32*12</f>
        <v/>
      </c>
      <c r="Z61" s="12">
        <f>Z32*12</f>
        <v/>
      </c>
    </row>
    <row r="62">
      <c r="A62" s="5" t="inlineStr">
        <is>
          <t>Ayuda: mes con flujo positivo (99 = no)</t>
        </is>
      </c>
      <c r="B62" s="2" t="n"/>
      <c r="C62" s="36">
        <f>IF(C59&gt;0,C3,99)</f>
        <v/>
      </c>
      <c r="D62" s="36">
        <f>IF(D59&gt;0,D3,99)</f>
        <v/>
      </c>
      <c r="E62" s="36">
        <f>IF(E59&gt;0,E3,99)</f>
        <v/>
      </c>
      <c r="F62" s="36">
        <f>IF(F59&gt;0,F3,99)</f>
        <v/>
      </c>
      <c r="G62" s="36">
        <f>IF(G59&gt;0,G3,99)</f>
        <v/>
      </c>
      <c r="H62" s="36">
        <f>IF(H59&gt;0,H3,99)</f>
        <v/>
      </c>
      <c r="I62" s="36">
        <f>IF(I59&gt;0,I3,99)</f>
        <v/>
      </c>
      <c r="J62" s="36">
        <f>IF(J59&gt;0,J3,99)</f>
        <v/>
      </c>
      <c r="K62" s="36">
        <f>IF(K59&gt;0,K3,99)</f>
        <v/>
      </c>
      <c r="L62" s="36">
        <f>IF(L59&gt;0,L3,99)</f>
        <v/>
      </c>
      <c r="M62" s="36">
        <f>IF(M59&gt;0,M3,99)</f>
        <v/>
      </c>
      <c r="N62" s="36">
        <f>IF(N59&gt;0,N3,99)</f>
        <v/>
      </c>
      <c r="O62" s="36">
        <f>IF(O59&gt;0,O3,99)</f>
        <v/>
      </c>
      <c r="P62" s="36">
        <f>IF(P59&gt;0,P3,99)</f>
        <v/>
      </c>
      <c r="Q62" s="36">
        <f>IF(Q59&gt;0,Q3,99)</f>
        <v/>
      </c>
      <c r="R62" s="36">
        <f>IF(R59&gt;0,R3,99)</f>
        <v/>
      </c>
      <c r="S62" s="36">
        <f>IF(S59&gt;0,S3,99)</f>
        <v/>
      </c>
      <c r="T62" s="36">
        <f>IF(T59&gt;0,T3,99)</f>
        <v/>
      </c>
      <c r="U62" s="36">
        <f>IF(U59&gt;0,U3,99)</f>
        <v/>
      </c>
      <c r="V62" s="36">
        <f>IF(V59&gt;0,V3,99)</f>
        <v/>
      </c>
      <c r="W62" s="36">
        <f>IF(W59&gt;0,W3,99)</f>
        <v/>
      </c>
      <c r="X62" s="36">
        <f>IF(X59&gt;0,X3,99)</f>
        <v/>
      </c>
      <c r="Y62" s="36">
        <f>IF(Y59&gt;0,Y3,99)</f>
        <v/>
      </c>
      <c r="Z62" s="36">
        <f>IF(Z59&gt;0,Z3,99)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2026-10-20T01:30:01Z</dcterms:created>
  <dcterms:modified xsi:type="dcterms:W3CDTF">2026-10-20T01:30:01Z</dcterms:modified>
</cp:coreProperties>
</file>